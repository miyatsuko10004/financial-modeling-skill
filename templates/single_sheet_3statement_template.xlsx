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業績予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0"/>
  </numFmts>
  <fonts count="12">
    <font>
      <name val="Calibri"/>
      <family val="2"/>
      <color theme="1"/>
      <sz val="11"/>
      <scheme val="minor"/>
    </font>
    <font>
      <name val="Meiryo UI"/>
      <b val="1"/>
      <color rgb="001B365D"/>
      <sz val="14"/>
    </font>
    <font>
      <name val="Meiryo UI"/>
      <color rgb="00595959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sz val="9"/>
    </font>
    <font>
      <name val="Meiryo UI"/>
      <color rgb="000000FF"/>
      <sz val="10"/>
    </font>
    <font>
      <name val="Meiryo UI"/>
      <b val="1"/>
      <sz val="10"/>
    </font>
    <font>
      <name val="Meiryo UI"/>
      <color rgb="00000000"/>
      <sz val="10"/>
    </font>
    <font>
      <name val="Meiryo UI"/>
      <b val="1"/>
      <sz val="9"/>
    </font>
    <font>
      <name val="Meiryo UI"/>
      <b val="1"/>
      <color rgb="00C00000"/>
      <sz val="9"/>
    </font>
    <font>
      <name val="Meiryo UI"/>
      <b val="1"/>
      <color rgb="001B365D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6" fillId="4" borderId="0" applyAlignment="1" pivotButton="0" quotePrefix="0" xfId="0">
      <alignment horizontal="right" vertical="center"/>
    </xf>
    <xf numFmtId="3" fontId="6" fillId="4" borderId="0" applyAlignment="1" pivotButton="0" quotePrefix="0" xfId="0">
      <alignment horizontal="right" vertical="center"/>
    </xf>
    <xf numFmtId="0" fontId="7" fillId="0" borderId="0" pivotButton="0" quotePrefix="0" xfId="0"/>
    <xf numFmtId="3" fontId="8" fillId="0" borderId="0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165" fontId="6" fillId="4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1" t="inlineStr">
        <is>
          <t>Company A 財務モデル</t>
        </is>
      </c>
      <c r="G1" s="2" t="inlineStr">
        <is>
          <t>（単位：百万円）</t>
        </is>
      </c>
    </row>
    <row r="2">
      <c r="A2" s="3" t="inlineStr">
        <is>
          <t>（１）前提</t>
        </is>
      </c>
      <c r="B2" s="3" t="inlineStr">
        <is>
          <t>前提条件パラメータ</t>
        </is>
      </c>
      <c r="C2" s="4" t="inlineStr">
        <is>
          <t>2022A</t>
        </is>
      </c>
      <c r="D2" s="4" t="inlineStr">
        <is>
          <t>2023E</t>
        </is>
      </c>
      <c r="E2" s="4" t="inlineStr">
        <is>
          <t>2024E</t>
        </is>
      </c>
      <c r="F2" s="4" t="inlineStr">
        <is>
          <t>2025E</t>
        </is>
      </c>
      <c r="G2" s="4" t="inlineStr">
        <is>
          <t>2026E</t>
        </is>
      </c>
    </row>
    <row r="3">
      <c r="B3" s="5" t="inlineStr">
        <is>
          <t>売上成長率</t>
        </is>
      </c>
      <c r="D3" s="6" t="n">
        <v>0.05</v>
      </c>
      <c r="E3" s="6" t="n">
        <v>0.05</v>
      </c>
      <c r="F3" s="6" t="n">
        <v>0.04</v>
      </c>
      <c r="G3" s="6" t="n">
        <v>0.03</v>
      </c>
    </row>
    <row r="4">
      <c r="B4" s="5" t="inlineStr">
        <is>
          <t>売上原価率</t>
        </is>
      </c>
      <c r="C4" s="6" t="n">
        <v>0.65</v>
      </c>
      <c r="D4" s="6" t="n">
        <v>0.64</v>
      </c>
      <c r="E4" s="6" t="n">
        <v>0.63</v>
      </c>
      <c r="F4" s="6" t="n">
        <v>0.62</v>
      </c>
      <c r="G4" s="6" t="n">
        <v>0.62</v>
      </c>
    </row>
    <row r="5">
      <c r="B5" s="5" t="inlineStr">
        <is>
          <t>販管費率（対売上）</t>
        </is>
      </c>
      <c r="C5" s="6" t="n">
        <v>0.2</v>
      </c>
      <c r="D5" s="6" t="n">
        <v>0.2</v>
      </c>
      <c r="E5" s="6" t="n">
        <v>0.19</v>
      </c>
      <c r="F5" s="6" t="n">
        <v>0.19</v>
      </c>
      <c r="G5" s="6" t="n">
        <v>0.19</v>
      </c>
    </row>
    <row r="6">
      <c r="B6" s="5" t="inlineStr">
        <is>
          <t>実効税率</t>
        </is>
      </c>
      <c r="C6" s="6" t="n">
        <v>0.3</v>
      </c>
      <c r="D6" s="6" t="n">
        <v>0.3</v>
      </c>
      <c r="E6" s="6" t="n">
        <v>0.3</v>
      </c>
      <c r="F6" s="6" t="n">
        <v>0.3</v>
      </c>
      <c r="G6" s="6" t="n">
        <v>0.3</v>
      </c>
    </row>
    <row r="7">
      <c r="B7" s="5" t="inlineStr">
        <is>
          <t>設備投資額（Capex）</t>
        </is>
      </c>
      <c r="D7" s="7" t="n">
        <v>-600</v>
      </c>
      <c r="E7" s="7" t="n">
        <v>-600</v>
      </c>
      <c r="F7" s="7" t="n">
        <v>-500</v>
      </c>
      <c r="G7" s="7" t="n">
        <v>-500</v>
      </c>
    </row>
    <row r="8">
      <c r="B8" s="5" t="inlineStr">
        <is>
          <t>減価償却率（期首PP&amp;E比）</t>
        </is>
      </c>
      <c r="D8" s="6" t="n">
        <v>0.1</v>
      </c>
      <c r="E8" s="6" t="n">
        <v>0.1</v>
      </c>
      <c r="F8" s="6" t="n">
        <v>0.1</v>
      </c>
      <c r="G8" s="6" t="n">
        <v>0.1</v>
      </c>
    </row>
    <row r="9">
      <c r="B9" s="5" t="inlineStr">
        <is>
          <t>売掛金回転日数（日）</t>
        </is>
      </c>
      <c r="D9" s="7" t="n">
        <v>60</v>
      </c>
      <c r="E9" s="7" t="n">
        <v>60</v>
      </c>
      <c r="F9" s="7" t="n">
        <v>60</v>
      </c>
      <c r="G9" s="7" t="n">
        <v>60</v>
      </c>
    </row>
    <row r="10">
      <c r="B10" s="5" t="inlineStr">
        <is>
          <t>棚卸資産回転日数（日）</t>
        </is>
      </c>
      <c r="D10" s="7" t="n">
        <v>45</v>
      </c>
      <c r="E10" s="7" t="n">
        <v>45</v>
      </c>
      <c r="F10" s="7" t="n">
        <v>45</v>
      </c>
      <c r="G10" s="7" t="n">
        <v>45</v>
      </c>
    </row>
    <row r="11">
      <c r="B11" s="5" t="inlineStr">
        <is>
          <t>買掛金回転日数（日）</t>
        </is>
      </c>
      <c r="D11" s="7" t="n">
        <v>40</v>
      </c>
      <c r="E11" s="7" t="n">
        <v>40</v>
      </c>
      <c r="F11" s="7" t="n">
        <v>40</v>
      </c>
      <c r="G11" s="7" t="n">
        <v>40</v>
      </c>
    </row>
    <row r="12">
      <c r="B12" s="5" t="inlineStr">
        <is>
          <t>配当性向</t>
        </is>
      </c>
      <c r="D12" s="6" t="n">
        <v>0.3</v>
      </c>
      <c r="E12" s="6" t="n">
        <v>0.3</v>
      </c>
      <c r="F12" s="6" t="n">
        <v>0.3</v>
      </c>
      <c r="G12" s="6" t="n">
        <v>0.3</v>
      </c>
    </row>
    <row r="13">
      <c r="B13" s="5" t="inlineStr">
        <is>
          <t>借入金約定返済額</t>
        </is>
      </c>
      <c r="D13" s="7" t="n">
        <v>-300</v>
      </c>
      <c r="E13" s="7" t="n">
        <v>-300</v>
      </c>
      <c r="F13" s="7" t="n">
        <v>-300</v>
      </c>
      <c r="G13" s="7" t="n">
        <v>-300</v>
      </c>
    </row>
    <row r="14">
      <c r="B14" s="5" t="inlineStr">
        <is>
          <t>借入金利</t>
        </is>
      </c>
      <c r="D14" s="6" t="n">
        <v>0.02</v>
      </c>
      <c r="E14" s="6" t="n">
        <v>0.02</v>
      </c>
      <c r="F14" s="6" t="n">
        <v>0.02</v>
      </c>
      <c r="G14" s="6" t="n">
        <v>0.02</v>
      </c>
    </row>
    <row r="16">
      <c r="A16" s="3" t="inlineStr">
        <is>
          <t>（２）損益計算書</t>
        </is>
      </c>
      <c r="B16" s="3" t="inlineStr">
        <is>
          <t>損益計算書（PL）</t>
        </is>
      </c>
      <c r="C16" s="4" t="inlineStr">
        <is>
          <t>2022A</t>
        </is>
      </c>
      <c r="D16" s="4" t="inlineStr">
        <is>
          <t>2023E</t>
        </is>
      </c>
      <c r="E16" s="4" t="inlineStr">
        <is>
          <t>2024E</t>
        </is>
      </c>
      <c r="F16" s="4" t="inlineStr">
        <is>
          <t>2025E</t>
        </is>
      </c>
      <c r="G16" s="4" t="inlineStr">
        <is>
          <t>2026E</t>
        </is>
      </c>
    </row>
    <row r="17">
      <c r="B17" s="8" t="inlineStr">
        <is>
          <t>売上高</t>
        </is>
      </c>
      <c r="C17" s="7" t="n">
        <v>10000</v>
      </c>
      <c r="D17" s="9">
        <f>C17*(1+D3)</f>
        <v/>
      </c>
      <c r="E17" s="9">
        <f>D17*(1+E3)</f>
        <v/>
      </c>
      <c r="F17" s="9">
        <f>E17*(1+F3)</f>
        <v/>
      </c>
      <c r="G17" s="9">
        <f>F17*(1+G3)</f>
        <v/>
      </c>
    </row>
    <row r="18">
      <c r="B18" s="5" t="inlineStr">
        <is>
          <t>売上原価</t>
        </is>
      </c>
      <c r="C18" s="9">
        <f>-C17*C4</f>
        <v/>
      </c>
      <c r="D18" s="9">
        <f>-D17*D4</f>
        <v/>
      </c>
      <c r="E18" s="9">
        <f>-E17*E4</f>
        <v/>
      </c>
      <c r="F18" s="9">
        <f>-F17*F4</f>
        <v/>
      </c>
      <c r="G18" s="9">
        <f>-G17*G4</f>
        <v/>
      </c>
    </row>
    <row r="19">
      <c r="B19" s="8" t="inlineStr">
        <is>
          <t>売上総利益</t>
        </is>
      </c>
      <c r="C19" s="10">
        <f>C17+C18</f>
        <v/>
      </c>
      <c r="D19" s="10">
        <f>D17+D18</f>
        <v/>
      </c>
      <c r="E19" s="10">
        <f>E17+E18</f>
        <v/>
      </c>
      <c r="F19" s="10">
        <f>F17+F18</f>
        <v/>
      </c>
      <c r="G19" s="10">
        <f>G17+G18</f>
        <v/>
      </c>
    </row>
    <row r="20">
      <c r="B20" s="5" t="inlineStr">
        <is>
          <t>販売費及び一般管理費</t>
        </is>
      </c>
      <c r="C20" s="9">
        <f>-C17*C5</f>
        <v/>
      </c>
      <c r="D20" s="9">
        <f>-D17*D5</f>
        <v/>
      </c>
      <c r="E20" s="9">
        <f>-E17*E5</f>
        <v/>
      </c>
      <c r="F20" s="9">
        <f>-F17*F5</f>
        <v/>
      </c>
      <c r="G20" s="9">
        <f>-G17*G5</f>
        <v/>
      </c>
    </row>
    <row r="21">
      <c r="B21" s="8" t="inlineStr">
        <is>
          <t>営業利益（EBIT）</t>
        </is>
      </c>
      <c r="C21" s="10">
        <f>C19+C20</f>
        <v/>
      </c>
      <c r="D21" s="10">
        <f>D19+D20</f>
        <v/>
      </c>
      <c r="E21" s="10">
        <f>E19+E20</f>
        <v/>
      </c>
      <c r="F21" s="10">
        <f>F19+F20</f>
        <v/>
      </c>
      <c r="G21" s="10">
        <f>G19+G20</f>
        <v/>
      </c>
    </row>
    <row r="22">
      <c r="B22" s="5" t="inlineStr">
        <is>
          <t>支払利息</t>
        </is>
      </c>
      <c r="C22" s="9">
        <f>-C50</f>
        <v/>
      </c>
      <c r="D22" s="9">
        <f>-D50</f>
        <v/>
      </c>
      <c r="E22" s="9">
        <f>-E50</f>
        <v/>
      </c>
      <c r="F22" s="9">
        <f>-F50</f>
        <v/>
      </c>
      <c r="G22" s="9">
        <f>-G50</f>
        <v/>
      </c>
    </row>
    <row r="23">
      <c r="B23" s="8" t="inlineStr">
        <is>
          <t>税引前当期純利益</t>
        </is>
      </c>
      <c r="C23" s="10">
        <f>C21+C22</f>
        <v/>
      </c>
      <c r="D23" s="10">
        <f>D21+D22</f>
        <v/>
      </c>
      <c r="E23" s="10">
        <f>E21+E22</f>
        <v/>
      </c>
      <c r="F23" s="10">
        <f>F21+F22</f>
        <v/>
      </c>
      <c r="G23" s="10">
        <f>G21+G22</f>
        <v/>
      </c>
    </row>
    <row r="24">
      <c r="B24" s="5" t="inlineStr">
        <is>
          <t>法人税等</t>
        </is>
      </c>
      <c r="C24" s="9">
        <f>-MAX(0,C23*C6)</f>
        <v/>
      </c>
      <c r="D24" s="9">
        <f>-MAX(0,D23*D6)</f>
        <v/>
      </c>
      <c r="E24" s="9">
        <f>-MAX(0,E23*E6)</f>
        <v/>
      </c>
      <c r="F24" s="9">
        <f>-MAX(0,F23*F6)</f>
        <v/>
      </c>
      <c r="G24" s="9">
        <f>-MAX(0,G23*G6)</f>
        <v/>
      </c>
    </row>
    <row r="25">
      <c r="B25" s="8" t="inlineStr">
        <is>
          <t>税引後当期純利益</t>
        </is>
      </c>
      <c r="C25" s="11">
        <f>C23+C24</f>
        <v/>
      </c>
      <c r="D25" s="11">
        <f>D23+D24</f>
        <v/>
      </c>
      <c r="E25" s="11">
        <f>E23+E24</f>
        <v/>
      </c>
      <c r="F25" s="11">
        <f>F23+F24</f>
        <v/>
      </c>
      <c r="G25" s="11">
        <f>G23+G24</f>
        <v/>
      </c>
    </row>
    <row r="27">
      <c r="A27" s="3" t="inlineStr">
        <is>
          <t>（３）有形固定資産</t>
        </is>
      </c>
      <c r="B27" s="3" t="inlineStr">
        <is>
          <t>有形固定資産（PP&amp;E）スケジュール</t>
        </is>
      </c>
      <c r="C27" s="4" t="inlineStr">
        <is>
          <t>2022A</t>
        </is>
      </c>
      <c r="D27" s="4" t="inlineStr">
        <is>
          <t>2023E</t>
        </is>
      </c>
      <c r="E27" s="4" t="inlineStr">
        <is>
          <t>2024E</t>
        </is>
      </c>
      <c r="F27" s="4" t="inlineStr">
        <is>
          <t>2025E</t>
        </is>
      </c>
      <c r="G27" s="4" t="inlineStr">
        <is>
          <t>2026E</t>
        </is>
      </c>
    </row>
    <row r="28">
      <c r="B28" t="inlineStr">
        <is>
          <t>期首有形固定資産</t>
        </is>
      </c>
      <c r="D28" s="9">
        <f>C31</f>
        <v/>
      </c>
      <c r="E28" s="9">
        <f>D31</f>
        <v/>
      </c>
      <c r="F28" s="9">
        <f>E31</f>
        <v/>
      </c>
      <c r="G28" s="9">
        <f>F31</f>
        <v/>
      </c>
    </row>
    <row r="29">
      <c r="B29" t="inlineStr">
        <is>
          <t>設備投資（Capex・マイナス格納→期末残高は加算）</t>
        </is>
      </c>
      <c r="D29" s="9">
        <f>D7</f>
        <v/>
      </c>
      <c r="E29" s="9">
        <f>E7</f>
        <v/>
      </c>
      <c r="F29" s="9">
        <f>F7</f>
        <v/>
      </c>
      <c r="G29" s="9">
        <f>G7</f>
        <v/>
      </c>
    </row>
    <row r="30">
      <c r="B30" t="inlineStr">
        <is>
          <t>減価償却費</t>
        </is>
      </c>
      <c r="D30" s="9">
        <f>-D28*D8</f>
        <v/>
      </c>
      <c r="E30" s="9">
        <f>-E28*E8</f>
        <v/>
      </c>
      <c r="F30" s="9">
        <f>-F28*F8</f>
        <v/>
      </c>
      <c r="G30" s="9">
        <f>-G28*G8</f>
        <v/>
      </c>
    </row>
    <row r="31">
      <c r="B31" s="12" t="inlineStr">
        <is>
          <t>期末有形固定資産</t>
        </is>
      </c>
      <c r="C31" s="7" t="n">
        <v>4000</v>
      </c>
      <c r="D31" s="10">
        <f>D28-D29+D30</f>
        <v/>
      </c>
      <c r="E31" s="10">
        <f>E28-E29+E30</f>
        <v/>
      </c>
      <c r="F31" s="10">
        <f>F28-F29+F30</f>
        <v/>
      </c>
      <c r="G31" s="10">
        <f>G28-G29+G30</f>
        <v/>
      </c>
    </row>
    <row r="33">
      <c r="A33" s="3" t="inlineStr">
        <is>
          <t>（４）利益剰余金</t>
        </is>
      </c>
      <c r="B33" s="3" t="inlineStr">
        <is>
          <t>利益剰余金スケジュール</t>
        </is>
      </c>
      <c r="C33" s="4" t="inlineStr">
        <is>
          <t>2022A</t>
        </is>
      </c>
      <c r="D33" s="4" t="inlineStr">
        <is>
          <t>2023E</t>
        </is>
      </c>
      <c r="E33" s="4" t="inlineStr">
        <is>
          <t>2024E</t>
        </is>
      </c>
      <c r="F33" s="4" t="inlineStr">
        <is>
          <t>2025E</t>
        </is>
      </c>
      <c r="G33" s="4" t="inlineStr">
        <is>
          <t>2026E</t>
        </is>
      </c>
    </row>
    <row r="34">
      <c r="B34" t="inlineStr">
        <is>
          <t>期首利益剰余金</t>
        </is>
      </c>
      <c r="D34" s="9">
        <f>C37</f>
        <v/>
      </c>
      <c r="E34" s="9">
        <f>D37</f>
        <v/>
      </c>
      <c r="F34" s="9">
        <f>E37</f>
        <v/>
      </c>
      <c r="G34" s="9">
        <f>F37</f>
        <v/>
      </c>
    </row>
    <row r="35">
      <c r="B35" t="inlineStr">
        <is>
          <t>当期純利益</t>
        </is>
      </c>
      <c r="D35" s="9">
        <f>D25</f>
        <v/>
      </c>
      <c r="E35" s="9">
        <f>E25</f>
        <v/>
      </c>
      <c r="F35" s="9">
        <f>F25</f>
        <v/>
      </c>
      <c r="G35" s="9">
        <f>G25</f>
        <v/>
      </c>
    </row>
    <row r="36">
      <c r="B36" t="inlineStr">
        <is>
          <t>配当金支払</t>
        </is>
      </c>
      <c r="D36" s="9">
        <f>-MAX(0,D35*D12)</f>
        <v/>
      </c>
      <c r="E36" s="9">
        <f>-MAX(0,E35*E12)</f>
        <v/>
      </c>
      <c r="F36" s="9">
        <f>-MAX(0,F35*F12)</f>
        <v/>
      </c>
      <c r="G36" s="9">
        <f>-MAX(0,G35*G12)</f>
        <v/>
      </c>
    </row>
    <row r="37">
      <c r="B37" s="12" t="inlineStr">
        <is>
          <t>期末利益剰余金</t>
        </is>
      </c>
      <c r="C37" s="7" t="n">
        <v>2500</v>
      </c>
      <c r="D37" s="10">
        <f>D34+D35+D36</f>
        <v/>
      </c>
      <c r="E37" s="10">
        <f>E34+E35+E36</f>
        <v/>
      </c>
      <c r="F37" s="10">
        <f>F34+F35+F36</f>
        <v/>
      </c>
      <c r="G37" s="10">
        <f>G34+G35+G36</f>
        <v/>
      </c>
    </row>
    <row r="39">
      <c r="A39" s="3" t="inlineStr">
        <is>
          <t>（５）運転資本</t>
        </is>
      </c>
      <c r="B39" s="3" t="inlineStr">
        <is>
          <t>運転資本（Working Capital）スケジュール</t>
        </is>
      </c>
      <c r="C39" s="4" t="inlineStr">
        <is>
          <t>2022A</t>
        </is>
      </c>
      <c r="D39" s="4" t="inlineStr">
        <is>
          <t>2023E</t>
        </is>
      </c>
      <c r="E39" s="4" t="inlineStr">
        <is>
          <t>2024E</t>
        </is>
      </c>
      <c r="F39" s="4" t="inlineStr">
        <is>
          <t>2025E</t>
        </is>
      </c>
      <c r="G39" s="4" t="inlineStr">
        <is>
          <t>2026E</t>
        </is>
      </c>
    </row>
    <row r="40">
      <c r="B40" t="inlineStr">
        <is>
          <t>売掛金（売上/365*日数）</t>
        </is>
      </c>
      <c r="C40" s="7" t="n">
        <v>1650</v>
      </c>
      <c r="D40" s="9">
        <f>(D17/365)*D9</f>
        <v/>
      </c>
      <c r="E40" s="9">
        <f>(E17/365)*E9</f>
        <v/>
      </c>
      <c r="F40" s="9">
        <f>(F17/365)*F9</f>
        <v/>
      </c>
      <c r="G40" s="9">
        <f>(G17/365)*G9</f>
        <v/>
      </c>
    </row>
    <row r="41">
      <c r="B41" t="inlineStr">
        <is>
          <t>棚卸資産（原価/365*日数）</t>
        </is>
      </c>
      <c r="C41" s="7" t="n">
        <v>800</v>
      </c>
      <c r="D41" s="9">
        <f>(-D18/365)*D10</f>
        <v/>
      </c>
      <c r="E41" s="9">
        <f>(-E18/365)*E10</f>
        <v/>
      </c>
      <c r="F41" s="9">
        <f>(-F18/365)*F10</f>
        <v/>
      </c>
      <c r="G41" s="9">
        <f>(-G18/365)*G10</f>
        <v/>
      </c>
    </row>
    <row r="42">
      <c r="B42" t="inlineStr">
        <is>
          <t>買掛金（原価/365*日数）</t>
        </is>
      </c>
      <c r="C42" s="7" t="n">
        <v>700</v>
      </c>
      <c r="D42" s="9">
        <f>(-D18/365)*D11</f>
        <v/>
      </c>
      <c r="E42" s="9">
        <f>(-E18/365)*E11</f>
        <v/>
      </c>
      <c r="F42" s="9">
        <f>(-F18/365)*F11</f>
        <v/>
      </c>
      <c r="G42" s="9">
        <f>(-G18/365)*G11</f>
        <v/>
      </c>
    </row>
    <row r="43">
      <c r="B43" s="12" t="inlineStr">
        <is>
          <t>正味運転資本（OWC）</t>
        </is>
      </c>
      <c r="C43" s="10">
        <f>C40+C41-C42</f>
        <v/>
      </c>
      <c r="D43" s="10">
        <f>D40+D41-D42</f>
        <v/>
      </c>
      <c r="E43" s="10">
        <f>E40+E41-E42</f>
        <v/>
      </c>
      <c r="F43" s="10">
        <f>F40+F41-F42</f>
        <v/>
      </c>
      <c r="G43" s="10">
        <f>G40+G41-G42</f>
        <v/>
      </c>
    </row>
    <row r="45">
      <c r="A45" s="3" t="inlineStr">
        <is>
          <t>（６）借入金</t>
        </is>
      </c>
      <c r="B45" s="3" t="inlineStr">
        <is>
          <t>借入金（Debt）スケジュール</t>
        </is>
      </c>
      <c r="C45" s="4" t="inlineStr">
        <is>
          <t>2022A</t>
        </is>
      </c>
      <c r="D45" s="4" t="inlineStr">
        <is>
          <t>2023E</t>
        </is>
      </c>
      <c r="E45" s="4" t="inlineStr">
        <is>
          <t>2024E</t>
        </is>
      </c>
      <c r="F45" s="4" t="inlineStr">
        <is>
          <t>2025E</t>
        </is>
      </c>
      <c r="G45" s="4" t="inlineStr">
        <is>
          <t>2026E</t>
        </is>
      </c>
    </row>
    <row r="46">
      <c r="B46" t="inlineStr">
        <is>
          <t>期首借入金残高</t>
        </is>
      </c>
      <c r="D46" s="9">
        <f>C49</f>
        <v/>
      </c>
      <c r="E46" s="9">
        <f>D49</f>
        <v/>
      </c>
      <c r="F46" s="9">
        <f>E49</f>
        <v/>
      </c>
      <c r="G46" s="9">
        <f>F49</f>
        <v/>
      </c>
    </row>
    <row r="47">
      <c r="B47" t="inlineStr">
        <is>
          <t>約定返済額</t>
        </is>
      </c>
      <c r="D47" s="9">
        <f>D13</f>
        <v/>
      </c>
      <c r="E47" s="9">
        <f>E13</f>
        <v/>
      </c>
      <c r="F47" s="9">
        <f>F13</f>
        <v/>
      </c>
      <c r="G47" s="9">
        <f>G13</f>
        <v/>
      </c>
    </row>
    <row r="48">
      <c r="B48" t="inlineStr">
        <is>
          <t>新規借入額</t>
        </is>
      </c>
      <c r="D48" s="7" t="n">
        <v>0</v>
      </c>
      <c r="E48" s="7" t="n">
        <v>0</v>
      </c>
      <c r="F48" s="7" t="n">
        <v>0</v>
      </c>
      <c r="G48" s="7" t="n">
        <v>0</v>
      </c>
    </row>
    <row r="49">
      <c r="B49" s="12" t="inlineStr">
        <is>
          <t>期末借入金残高</t>
        </is>
      </c>
      <c r="C49" s="7" t="n">
        <v>3000</v>
      </c>
      <c r="D49" s="10">
        <f>D46+D47+D48</f>
        <v/>
      </c>
      <c r="E49" s="10">
        <f>E46+E47+E48</f>
        <v/>
      </c>
      <c r="F49" s="10">
        <f>F46+F47+F48</f>
        <v/>
      </c>
      <c r="G49" s="10">
        <f>G46+G47+G48</f>
        <v/>
      </c>
    </row>
    <row r="50">
      <c r="B50" t="inlineStr">
        <is>
          <t>支払利息（期首残高*金利: 循環回避）</t>
        </is>
      </c>
      <c r="C50" s="7" t="n">
        <v>60</v>
      </c>
      <c r="D50" s="9">
        <f>D46*D14</f>
        <v/>
      </c>
      <c r="E50" s="9">
        <f>E46*E14</f>
        <v/>
      </c>
      <c r="F50" s="9">
        <f>F46*F14</f>
        <v/>
      </c>
      <c r="G50" s="9">
        <f>G46*G14</f>
        <v/>
      </c>
    </row>
    <row r="52">
      <c r="A52" s="3" t="inlineStr">
        <is>
          <t>（７）貸借対照表</t>
        </is>
      </c>
      <c r="B52" s="3" t="inlineStr">
        <is>
          <t>貸借対照表（BS）</t>
        </is>
      </c>
      <c r="C52" s="4" t="inlineStr">
        <is>
          <t>2022A</t>
        </is>
      </c>
      <c r="D52" s="4" t="inlineStr">
        <is>
          <t>2023E</t>
        </is>
      </c>
      <c r="E52" s="4" t="inlineStr">
        <is>
          <t>2024E</t>
        </is>
      </c>
      <c r="F52" s="4" t="inlineStr">
        <is>
          <t>2025E</t>
        </is>
      </c>
      <c r="G52" s="4" t="inlineStr">
        <is>
          <t>2026E</t>
        </is>
      </c>
    </row>
    <row r="53">
      <c r="B53" s="12" t="inlineStr">
        <is>
          <t>【資産の部】</t>
        </is>
      </c>
    </row>
    <row r="54">
      <c r="B54" t="inlineStr">
        <is>
          <t>現預金</t>
        </is>
      </c>
      <c r="C54" s="9">
        <f>C81</f>
        <v/>
      </c>
      <c r="D54" s="9">
        <f>D81</f>
        <v/>
      </c>
      <c r="E54" s="9">
        <f>E81</f>
        <v/>
      </c>
      <c r="F54" s="9">
        <f>F81</f>
        <v/>
      </c>
      <c r="G54" s="9">
        <f>G81</f>
        <v/>
      </c>
    </row>
    <row r="55">
      <c r="B55" t="inlineStr">
        <is>
          <t>売掛金</t>
        </is>
      </c>
      <c r="C55" s="9">
        <f>C40</f>
        <v/>
      </c>
      <c r="D55" s="9">
        <f>D40</f>
        <v/>
      </c>
      <c r="E55" s="9">
        <f>E40</f>
        <v/>
      </c>
      <c r="F55" s="9">
        <f>F40</f>
        <v/>
      </c>
      <c r="G55" s="9">
        <f>G40</f>
        <v/>
      </c>
    </row>
    <row r="56">
      <c r="B56" t="inlineStr">
        <is>
          <t>棚卸資産</t>
        </is>
      </c>
      <c r="C56" s="9">
        <f>C41</f>
        <v/>
      </c>
      <c r="D56" s="9">
        <f>D41</f>
        <v/>
      </c>
      <c r="E56" s="9">
        <f>E41</f>
        <v/>
      </c>
      <c r="F56" s="9">
        <f>F41</f>
        <v/>
      </c>
      <c r="G56" s="9">
        <f>G41</f>
        <v/>
      </c>
    </row>
    <row r="57">
      <c r="B57" t="inlineStr">
        <is>
          <t>有形固定資産（PP&amp;E）</t>
        </is>
      </c>
      <c r="C57" s="9">
        <f>C31</f>
        <v/>
      </c>
      <c r="D57" s="9">
        <f>D31</f>
        <v/>
      </c>
      <c r="E57" s="9">
        <f>E31</f>
        <v/>
      </c>
      <c r="F57" s="9">
        <f>F31</f>
        <v/>
      </c>
      <c r="G57" s="9">
        <f>G31</f>
        <v/>
      </c>
    </row>
    <row r="58">
      <c r="B58" s="8" t="inlineStr">
        <is>
          <t>資産合計</t>
        </is>
      </c>
      <c r="C58" s="11">
        <f>SUM(C54:C57)</f>
        <v/>
      </c>
      <c r="D58" s="11">
        <f>SUM(D54:D57)</f>
        <v/>
      </c>
      <c r="E58" s="11">
        <f>SUM(E54:E57)</f>
        <v/>
      </c>
      <c r="F58" s="11">
        <f>SUM(F54:F57)</f>
        <v/>
      </c>
      <c r="G58" s="11">
        <f>SUM(G54:G57)</f>
        <v/>
      </c>
    </row>
    <row r="60">
      <c r="B60" s="12" t="inlineStr">
        <is>
          <t>【負債の部】</t>
        </is>
      </c>
    </row>
    <row r="61">
      <c r="B61" t="inlineStr">
        <is>
          <t>買掛金</t>
        </is>
      </c>
      <c r="C61" s="9">
        <f>C42</f>
        <v/>
      </c>
      <c r="D61" s="9">
        <f>D42</f>
        <v/>
      </c>
      <c r="E61" s="9">
        <f>E42</f>
        <v/>
      </c>
      <c r="F61" s="9">
        <f>F42</f>
        <v/>
      </c>
      <c r="G61" s="9">
        <f>G42</f>
        <v/>
      </c>
    </row>
    <row r="62">
      <c r="B62" t="inlineStr">
        <is>
          <t>借入金</t>
        </is>
      </c>
      <c r="C62" s="9">
        <f>C49</f>
        <v/>
      </c>
      <c r="D62" s="9">
        <f>D49</f>
        <v/>
      </c>
      <c r="E62" s="9">
        <f>E49</f>
        <v/>
      </c>
      <c r="F62" s="9">
        <f>F49</f>
        <v/>
      </c>
      <c r="G62" s="9">
        <f>G49</f>
        <v/>
      </c>
    </row>
    <row r="63">
      <c r="B63" s="12" t="inlineStr">
        <is>
          <t>【純資産の部】</t>
        </is>
      </c>
    </row>
    <row r="64">
      <c r="B64" t="inlineStr">
        <is>
          <t>資本金</t>
        </is>
      </c>
      <c r="C64" s="7" t="n">
        <v>1750</v>
      </c>
      <c r="D64" s="9">
        <f>C64</f>
        <v/>
      </c>
      <c r="E64" s="9">
        <f>C64</f>
        <v/>
      </c>
      <c r="F64" s="9">
        <f>C64</f>
        <v/>
      </c>
      <c r="G64" s="9">
        <f>C64</f>
        <v/>
      </c>
    </row>
    <row r="65">
      <c r="B65" t="inlineStr">
        <is>
          <t>利益剰余金</t>
        </is>
      </c>
      <c r="C65" s="9">
        <f>C37</f>
        <v/>
      </c>
      <c r="D65" s="9">
        <f>D37</f>
        <v/>
      </c>
      <c r="E65" s="9">
        <f>E37</f>
        <v/>
      </c>
      <c r="F65" s="9">
        <f>F37</f>
        <v/>
      </c>
      <c r="G65" s="9">
        <f>G37</f>
        <v/>
      </c>
    </row>
    <row r="66">
      <c r="B66" s="8" t="inlineStr">
        <is>
          <t>負債・純資産合計</t>
        </is>
      </c>
      <c r="C66" s="11">
        <f>C61+C62+C64+C65</f>
        <v/>
      </c>
      <c r="D66" s="11">
        <f>D61+D62+D64+D65</f>
        <v/>
      </c>
      <c r="E66" s="11">
        <f>E61+E62+E64+E65</f>
        <v/>
      </c>
      <c r="F66" s="11">
        <f>F61+F62+F64+F65</f>
        <v/>
      </c>
      <c r="G66" s="11">
        <f>G61+G62+G64+G65</f>
        <v/>
      </c>
    </row>
    <row r="67">
      <c r="B67" s="13" t="inlineStr">
        <is>
          <t>バランスチェック（差額＝0検証）</t>
        </is>
      </c>
      <c r="C67" s="9">
        <f>C58-C66</f>
        <v/>
      </c>
      <c r="D67" s="9">
        <f>D58-D66</f>
        <v/>
      </c>
      <c r="E67" s="9">
        <f>E58-E66</f>
        <v/>
      </c>
      <c r="F67" s="9">
        <f>F58-F66</f>
        <v/>
      </c>
      <c r="G67" s="9">
        <f>G58-G66</f>
        <v/>
      </c>
    </row>
    <row r="69">
      <c r="A69" s="3" t="inlineStr">
        <is>
          <t>（８）キャッシュフロー計算書</t>
        </is>
      </c>
      <c r="B69" s="3" t="inlineStr">
        <is>
          <t>キャッシュフロー計算書（間接法CF）</t>
        </is>
      </c>
      <c r="C69" s="4" t="inlineStr">
        <is>
          <t>2022A</t>
        </is>
      </c>
      <c r="D69" s="4" t="inlineStr">
        <is>
          <t>2023E</t>
        </is>
      </c>
      <c r="E69" s="4" t="inlineStr">
        <is>
          <t>2024E</t>
        </is>
      </c>
      <c r="F69" s="4" t="inlineStr">
        <is>
          <t>2025E</t>
        </is>
      </c>
      <c r="G69" s="4" t="inlineStr">
        <is>
          <t>2026E</t>
        </is>
      </c>
    </row>
    <row r="70">
      <c r="B70" t="inlineStr">
        <is>
          <t>税引後当期純利益</t>
        </is>
      </c>
      <c r="D70" s="9">
        <f>D25</f>
        <v/>
      </c>
      <c r="E70" s="9">
        <f>E25</f>
        <v/>
      </c>
      <c r="F70" s="9">
        <f>F25</f>
        <v/>
      </c>
      <c r="G70" s="9">
        <f>G25</f>
        <v/>
      </c>
    </row>
    <row r="71">
      <c r="B71" t="inlineStr">
        <is>
          <t>減価償却費（足し戻し）</t>
        </is>
      </c>
      <c r="D71" s="9">
        <f>-D30</f>
        <v/>
      </c>
      <c r="E71" s="9">
        <f>-E30</f>
        <v/>
      </c>
      <c r="F71" s="9">
        <f>-F30</f>
        <v/>
      </c>
      <c r="G71" s="9">
        <f>-G30</f>
        <v/>
      </c>
    </row>
    <row r="72">
      <c r="B72" t="inlineStr">
        <is>
          <t>Δ運転資本（前期−当期）</t>
        </is>
      </c>
      <c r="D72" s="9">
        <f>C43-D43</f>
        <v/>
      </c>
      <c r="E72" s="9">
        <f>D43-E43</f>
        <v/>
      </c>
      <c r="F72" s="9">
        <f>E43-F43</f>
        <v/>
      </c>
      <c r="G72" s="9">
        <f>F43-G43</f>
        <v/>
      </c>
    </row>
    <row r="73">
      <c r="B73" s="8" t="inlineStr">
        <is>
          <t>営業活動によるキャッシュフロー</t>
        </is>
      </c>
      <c r="D73" s="10">
        <f>SUM(D70:D72)</f>
        <v/>
      </c>
      <c r="E73" s="10">
        <f>SUM(E70:E72)</f>
        <v/>
      </c>
      <c r="F73" s="10">
        <f>SUM(F70:F72)</f>
        <v/>
      </c>
      <c r="G73" s="10">
        <f>SUM(G70:G72)</f>
        <v/>
      </c>
    </row>
    <row r="74">
      <c r="B74" t="inlineStr">
        <is>
          <t>設備投資額（Capex）</t>
        </is>
      </c>
      <c r="D74" s="9">
        <f>D29</f>
        <v/>
      </c>
      <c r="E74" s="9">
        <f>E29</f>
        <v/>
      </c>
      <c r="F74" s="9">
        <f>F29</f>
        <v/>
      </c>
      <c r="G74" s="9">
        <f>G29</f>
        <v/>
      </c>
    </row>
    <row r="75">
      <c r="B75" s="8" t="inlineStr">
        <is>
          <t>投資活動によるキャッシュフロー</t>
        </is>
      </c>
      <c r="D75" s="10">
        <f>D74</f>
        <v/>
      </c>
      <c r="E75" s="10">
        <f>E74</f>
        <v/>
      </c>
      <c r="F75" s="10">
        <f>F74</f>
        <v/>
      </c>
      <c r="G75" s="10">
        <f>G74</f>
        <v/>
      </c>
    </row>
    <row r="76">
      <c r="B76" t="inlineStr">
        <is>
          <t>借入返済額</t>
        </is>
      </c>
      <c r="D76" s="9">
        <f>D47</f>
        <v/>
      </c>
      <c r="E76" s="9">
        <f>E47</f>
        <v/>
      </c>
      <c r="F76" s="9">
        <f>F47</f>
        <v/>
      </c>
      <c r="G76" s="9">
        <f>G47</f>
        <v/>
      </c>
    </row>
    <row r="77">
      <c r="B77" t="inlineStr">
        <is>
          <t>新規借入額</t>
        </is>
      </c>
      <c r="D77" s="9">
        <f>D48</f>
        <v/>
      </c>
      <c r="E77" s="9">
        <f>E48</f>
        <v/>
      </c>
      <c r="F77" s="9">
        <f>F48</f>
        <v/>
      </c>
      <c r="G77" s="9">
        <f>G48</f>
        <v/>
      </c>
    </row>
    <row r="78">
      <c r="B78" t="inlineStr">
        <is>
          <t>配当金支払額</t>
        </is>
      </c>
      <c r="D78" s="9">
        <f>D36</f>
        <v/>
      </c>
      <c r="E78" s="9">
        <f>E36</f>
        <v/>
      </c>
      <c r="F78" s="9">
        <f>F36</f>
        <v/>
      </c>
      <c r="G78" s="9">
        <f>G36</f>
        <v/>
      </c>
    </row>
    <row r="79">
      <c r="B79" s="8" t="inlineStr">
        <is>
          <t>財務活動によるキャッシュフロー</t>
        </is>
      </c>
      <c r="D79" s="10">
        <f>SUM(D76:D78)</f>
        <v/>
      </c>
      <c r="E79" s="10">
        <f>SUM(E76:E78)</f>
        <v/>
      </c>
      <c r="F79" s="10">
        <f>SUM(F76:F78)</f>
        <v/>
      </c>
      <c r="G79" s="10">
        <f>SUM(G76:G78)</f>
        <v/>
      </c>
    </row>
    <row r="80">
      <c r="B80" s="8" t="inlineStr">
        <is>
          <t>当期純キャッシュ増減（Net Cash Flow）</t>
        </is>
      </c>
      <c r="D80" s="11">
        <f>D73+D75+D79</f>
        <v/>
      </c>
      <c r="E80" s="11">
        <f>E73+E75+E79</f>
        <v/>
      </c>
      <c r="F80" s="11">
        <f>F73+F75+F79</f>
        <v/>
      </c>
      <c r="G80" s="11">
        <f>G73+G75+G79</f>
        <v/>
      </c>
    </row>
    <row r="81">
      <c r="B81" s="8" t="inlineStr">
        <is>
          <t>期末現預金残高</t>
        </is>
      </c>
      <c r="C81" s="7" t="n">
        <v>1500</v>
      </c>
      <c r="D81" s="11">
        <f>C81+D80</f>
        <v/>
      </c>
      <c r="E81" s="11">
        <f>D81+E80</f>
        <v/>
      </c>
      <c r="F81" s="11">
        <f>E81+F80</f>
        <v/>
      </c>
      <c r="G81" s="11">
        <f>F81+G80</f>
        <v/>
      </c>
    </row>
    <row r="83">
      <c r="A83" s="3" t="inlineStr">
        <is>
          <t>（９）DCF 企業価値算定</t>
        </is>
      </c>
      <c r="B83" s="3" t="inlineStr">
        <is>
          <t>DCF 企業価値算定（バリュエーション）</t>
        </is>
      </c>
      <c r="C83" s="4" t="inlineStr">
        <is>
          <t>2022A</t>
        </is>
      </c>
      <c r="D83" s="4" t="inlineStr">
        <is>
          <t>2023E</t>
        </is>
      </c>
      <c r="E83" s="4" t="inlineStr">
        <is>
          <t>2024E</t>
        </is>
      </c>
      <c r="F83" s="4" t="inlineStr">
        <is>
          <t>2025E</t>
        </is>
      </c>
      <c r="G83" s="4" t="inlineStr">
        <is>
          <t>2026E</t>
        </is>
      </c>
    </row>
    <row r="84">
      <c r="B84" s="5" t="inlineStr">
        <is>
          <t>割引率（WACC）</t>
        </is>
      </c>
      <c r="D84" s="6" t="n">
        <v>0.07000000000000001</v>
      </c>
    </row>
    <row r="85">
      <c r="B85" s="5" t="inlineStr">
        <is>
          <t>永久成長率（PGR）</t>
        </is>
      </c>
      <c r="D85" s="6" t="n">
        <v>0.005</v>
      </c>
    </row>
    <row r="86">
      <c r="B86" s="5" t="inlineStr">
        <is>
          <t>割引期間（年央調整: t-0.5）</t>
        </is>
      </c>
      <c r="D86" s="14" t="n">
        <v>0.5</v>
      </c>
      <c r="E86" s="15">
        <f>D86+1</f>
        <v/>
      </c>
      <c r="F86" s="15">
        <f>E86+1</f>
        <v/>
      </c>
      <c r="G86" s="15">
        <f>F86+1</f>
        <v/>
      </c>
    </row>
    <row r="87">
      <c r="B87" s="5" t="inlineStr">
        <is>
          <t>営業利益（EBIT）</t>
        </is>
      </c>
      <c r="D87" s="9">
        <f>D21</f>
        <v/>
      </c>
      <c r="E87" s="9">
        <f>E21</f>
        <v/>
      </c>
      <c r="F87" s="9">
        <f>F21</f>
        <v/>
      </c>
      <c r="G87" s="9">
        <f>G21</f>
        <v/>
      </c>
    </row>
    <row r="88">
      <c r="B88" s="5" t="inlineStr">
        <is>
          <t>みなし税引後営業利益（NOPAT）</t>
        </is>
      </c>
      <c r="D88" s="9">
        <f>D87*(1-D6)</f>
        <v/>
      </c>
      <c r="E88" s="9">
        <f>E87*(1-E6)</f>
        <v/>
      </c>
      <c r="F88" s="9">
        <f>F87*(1-F6)</f>
        <v/>
      </c>
      <c r="G88" s="9">
        <f>G87*(1-G6)</f>
        <v/>
      </c>
    </row>
    <row r="89">
      <c r="B89" s="5" t="inlineStr">
        <is>
          <t>減価償却費（足し戻し）</t>
        </is>
      </c>
      <c r="D89" s="9">
        <f>-D30</f>
        <v/>
      </c>
      <c r="E89" s="9">
        <f>-E30</f>
        <v/>
      </c>
      <c r="F89" s="9">
        <f>-F30</f>
        <v/>
      </c>
      <c r="G89" s="9">
        <f>-G30</f>
        <v/>
      </c>
    </row>
    <row r="90">
      <c r="B90" s="5" t="inlineStr">
        <is>
          <t>設備投資（Capex）</t>
        </is>
      </c>
      <c r="D90" s="9">
        <f>D29</f>
        <v/>
      </c>
      <c r="E90" s="9">
        <f>E29</f>
        <v/>
      </c>
      <c r="F90" s="9">
        <f>F29</f>
        <v/>
      </c>
      <c r="G90" s="9">
        <f>G29</f>
        <v/>
      </c>
    </row>
    <row r="91">
      <c r="B91" s="5" t="inlineStr">
        <is>
          <t>Δ運転資本（流出はマイナス）</t>
        </is>
      </c>
      <c r="D91" s="9">
        <f>D72</f>
        <v/>
      </c>
      <c r="E91" s="9">
        <f>E72</f>
        <v/>
      </c>
      <c r="F91" s="9">
        <f>F72</f>
        <v/>
      </c>
      <c r="G91" s="9">
        <f>G72</f>
        <v/>
      </c>
    </row>
    <row r="92">
      <c r="B92" s="8" t="inlineStr">
        <is>
          <t>フリーキャッシュフロー（FCFF）</t>
        </is>
      </c>
      <c r="D92" s="10">
        <f>D88+D89+D90+D91</f>
        <v/>
      </c>
      <c r="E92" s="10">
        <f>E88+E89+E90+E91</f>
        <v/>
      </c>
      <c r="F92" s="10">
        <f>F88+F89+F90+F91</f>
        <v/>
      </c>
      <c r="G92" s="10">
        <f>G88+G89+G90+G91</f>
        <v/>
      </c>
    </row>
    <row r="93">
      <c r="B93" s="5" t="inlineStr">
        <is>
          <t>ディスカウントファクター</t>
        </is>
      </c>
      <c r="D93" s="16">
        <f>1/(1+$D$84)^D86</f>
        <v/>
      </c>
      <c r="E93" s="16">
        <f>1/(1+$D$84)^E86</f>
        <v/>
      </c>
      <c r="F93" s="16">
        <f>1/(1+$D$84)^F86</f>
        <v/>
      </c>
      <c r="G93" s="16">
        <f>1/(1+$D$84)^G86</f>
        <v/>
      </c>
    </row>
    <row r="94">
      <c r="B94" s="8" t="inlineStr">
        <is>
          <t>現在価値（PV of FCF）</t>
        </is>
      </c>
      <c r="D94" s="11">
        <f>D92*D93</f>
        <v/>
      </c>
      <c r="E94" s="11">
        <f>E92*E93</f>
        <v/>
      </c>
      <c r="F94" s="11">
        <f>F92*F93</f>
        <v/>
      </c>
      <c r="G94" s="11">
        <f>G92*G93</f>
        <v/>
      </c>
    </row>
    <row r="96">
      <c r="B96" t="inlineStr">
        <is>
          <t>予測期間FCF現在価値合計</t>
        </is>
      </c>
      <c r="D96" s="11">
        <f>SUM(D94:G94)</f>
        <v/>
      </c>
    </row>
    <row r="97">
      <c r="B97" t="inlineStr">
        <is>
          <t>ターミナルバリュー現在価値（永久成長率法）</t>
        </is>
      </c>
      <c r="D97" s="11">
        <f>G92*(1+D85)/(D84-D85)*G93</f>
        <v/>
      </c>
    </row>
    <row r="98">
      <c r="B98" s="8" t="inlineStr">
        <is>
          <t>事業価値（EV: Enterprise Value）</t>
        </is>
      </c>
      <c r="D98" s="11">
        <f>D96+D97</f>
        <v/>
      </c>
    </row>
    <row r="99">
      <c r="B99" t="inlineStr">
        <is>
          <t>現預金（非事業用資産）</t>
        </is>
      </c>
      <c r="D99" s="9">
        <f>C54</f>
        <v/>
      </c>
    </row>
    <row r="100">
      <c r="B100" t="inlineStr">
        <is>
          <t>有利子負債（有利子負債控除）</t>
        </is>
      </c>
      <c r="D100" s="9">
        <f>-C62</f>
        <v/>
      </c>
    </row>
    <row r="101">
      <c r="B101" s="17" t="inlineStr">
        <is>
          <t>株式価値（Equity Value）</t>
        </is>
      </c>
      <c r="D101" s="11">
        <f>D98+D99+D100</f>
        <v/>
      </c>
    </row>
    <row r="103">
      <c r="A103" s="3" t="inlineStr">
        <is>
          <t>（10）感応度分析</t>
        </is>
      </c>
      <c r="B103" s="3" t="inlineStr">
        <is>
          <t>感応度マトリクス（株式価値: WACC × PGR）</t>
        </is>
      </c>
      <c r="C103" s="4" t="inlineStr"/>
      <c r="D103" s="4" t="inlineStr"/>
      <c r="E103" s="4" t="inlineStr"/>
      <c r="F103" s="4" t="inlineStr"/>
      <c r="G103" s="4" t="inlineStr"/>
    </row>
    <row r="104">
      <c r="C104" s="18" t="inlineStr">
        <is>
          <t>WACC＼PGR</t>
        </is>
      </c>
      <c r="D104" s="6" t="n">
        <v>0</v>
      </c>
      <c r="E104" s="6" t="n">
        <v>0.005</v>
      </c>
      <c r="F104" s="6" t="n">
        <v>0.01</v>
      </c>
      <c r="G104" s="6" t="n">
        <v>0.015</v>
      </c>
    </row>
    <row r="105">
      <c r="C105" s="6" t="n">
        <v>0.06</v>
      </c>
      <c r="D105" s="9">
        <f>SUMPRODUCT($D$92:$G$92,1/(1+$C105)^$D$86:$G$86)+$G$92*(1+D$104)/($C105-D$104)/(1+$C105)^$G$86+$D$99+$D$100</f>
        <v/>
      </c>
      <c r="E105" s="9">
        <f>SUMPRODUCT($D$92:$G$92,1/(1+$C105)^$D$86:$G$86)+$G$92*(1+E$104)/($C105-E$104)/(1+$C105)^$G$86+$D$99+$D$100</f>
        <v/>
      </c>
      <c r="F105" s="9">
        <f>SUMPRODUCT($D$92:$G$92,1/(1+$C105)^$D$86:$G$86)+$G$92*(1+F$104)/($C105-F$104)/(1+$C105)^$G$86+$D$99+$D$100</f>
        <v/>
      </c>
      <c r="G105" s="9">
        <f>SUMPRODUCT($D$92:$G$92,1/(1+$C105)^$D$86:$G$86)+$G$92*(1+G$104)/($C105-G$104)/(1+$C105)^$G$86+$D$99+$D$100</f>
        <v/>
      </c>
    </row>
    <row r="106">
      <c r="C106" s="6" t="n">
        <v>0.065</v>
      </c>
      <c r="D106" s="9">
        <f>SUMPRODUCT($D$92:$G$92,1/(1+$C106)^$D$86:$G$86)+$G$92*(1+D$104)/($C106-D$104)/(1+$C106)^$G$86+$D$99+$D$100</f>
        <v/>
      </c>
      <c r="E106" s="9">
        <f>SUMPRODUCT($D$92:$G$92,1/(1+$C106)^$D$86:$G$86)+$G$92*(1+E$104)/($C106-E$104)/(1+$C106)^$G$86+$D$99+$D$100</f>
        <v/>
      </c>
      <c r="F106" s="9">
        <f>SUMPRODUCT($D$92:$G$92,1/(1+$C106)^$D$86:$G$86)+$G$92*(1+F$104)/($C106-F$104)/(1+$C106)^$G$86+$D$99+$D$100</f>
        <v/>
      </c>
      <c r="G106" s="9">
        <f>SUMPRODUCT($D$92:$G$92,1/(1+$C106)^$D$86:$G$86)+$G$92*(1+G$104)/($C106-G$104)/(1+$C106)^$G$86+$D$99+$D$100</f>
        <v/>
      </c>
    </row>
    <row r="107">
      <c r="C107" s="6" t="n">
        <v>0.07000000000000001</v>
      </c>
      <c r="D107" s="9">
        <f>SUMPRODUCT($D$92:$G$92,1/(1+$C107)^$D$86:$G$86)+$G$92*(1+D$104)/($C107-D$104)/(1+$C107)^$G$86+$D$99+$D$100</f>
        <v/>
      </c>
      <c r="E107" s="9">
        <f>SUMPRODUCT($D$92:$G$92,1/(1+$C107)^$D$86:$G$86)+$G$92*(1+E$104)/($C107-E$104)/(1+$C107)^$G$86+$D$99+$D$100</f>
        <v/>
      </c>
      <c r="F107" s="9">
        <f>SUMPRODUCT($D$92:$G$92,1/(1+$C107)^$D$86:$G$86)+$G$92*(1+F$104)/($C107-F$104)/(1+$C107)^$G$86+$D$99+$D$100</f>
        <v/>
      </c>
      <c r="G107" s="9">
        <f>SUMPRODUCT($D$92:$G$92,1/(1+$C107)^$D$86:$G$86)+$G$92*(1+G$104)/($C107-G$104)/(1+$C107)^$G$86+$D$99+$D$100</f>
        <v/>
      </c>
    </row>
    <row r="108">
      <c r="C108" s="6" t="n">
        <v>0.075</v>
      </c>
      <c r="D108" s="9">
        <f>SUMPRODUCT($D$92:$G$92,1/(1+$C108)^$D$86:$G$86)+$G$92*(1+D$104)/($C108-D$104)/(1+$C108)^$G$86+$D$99+$D$100</f>
        <v/>
      </c>
      <c r="E108" s="9">
        <f>SUMPRODUCT($D$92:$G$92,1/(1+$C108)^$D$86:$G$86)+$G$92*(1+E$104)/($C108-E$104)/(1+$C108)^$G$86+$D$99+$D$100</f>
        <v/>
      </c>
      <c r="F108" s="9">
        <f>SUMPRODUCT($D$92:$G$92,1/(1+$C108)^$D$86:$G$86)+$G$92*(1+F$104)/($C108-F$104)/(1+$C108)^$G$86+$D$99+$D$100</f>
        <v/>
      </c>
      <c r="G108" s="9">
        <f>SUMPRODUCT($D$92:$G$92,1/(1+$C108)^$D$86:$G$86)+$G$92*(1+G$104)/($C108-G$104)/(1+$C108)^$G$86+$D$99+$D$100</f>
        <v/>
      </c>
    </row>
    <row r="109">
      <c r="C109" s="6" t="n">
        <v>0.08</v>
      </c>
      <c r="D109" s="9">
        <f>SUMPRODUCT($D$92:$G$92,1/(1+$C109)^$D$86:$G$86)+$G$92*(1+D$104)/($C109-D$104)/(1+$C109)^$G$86+$D$99+$D$100</f>
        <v/>
      </c>
      <c r="E109" s="9">
        <f>SUMPRODUCT($D$92:$G$92,1/(1+$C109)^$D$86:$G$86)+$G$92*(1+E$104)/($C109-E$104)/(1+$C109)^$G$86+$D$99+$D$100</f>
        <v/>
      </c>
      <c r="F109" s="9">
        <f>SUMPRODUCT($D$92:$G$92,1/(1+$C109)^$D$86:$G$86)+$G$92*(1+F$104)/($C109-F$104)/(1+$C109)^$G$86+$D$99+$D$100</f>
        <v/>
      </c>
      <c r="G109" s="9">
        <f>SUMPRODUCT($D$92:$G$92,1/(1+$C109)^$D$86:$G$86)+$G$92*(1+G$104)/($C109-G$104)/(1+$C109)^$G$86+$D$99+$D$100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2026-10-05T18:53:26Z</dcterms:created>
  <dcterms:modified xsi:type="dcterms:W3CDTF">2026-10-05T18:53:26Z</dcterms:modified>
</cp:coreProperties>
</file>