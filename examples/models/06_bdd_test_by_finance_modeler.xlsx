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業績予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&quot;x&quot;"/>
    <numFmt numFmtId="165" formatCode="0.0%"/>
    <numFmt numFmtId="166" formatCode="#,##0_);(#,##0);&quot;-&quot;_)"/>
    <numFmt numFmtId="167" formatCode="#,##0.0_);(#,##0.0);&quot;-&quot;_)"/>
    <numFmt numFmtId="168" formatCode="0.00&quot;x&quot;"/>
  </numFmts>
  <fonts count="10">
    <font>
      <name val="Calibri"/>
      <family val="2"/>
      <color theme="1"/>
      <sz val="11"/>
      <scheme val="minor"/>
    </font>
    <font>
      <name val="Meiryo UI"/>
      <b val="1"/>
      <color rgb="001B365D"/>
      <sz val="14"/>
    </font>
    <font>
      <name val="Meiryo UI"/>
      <color rgb="00595959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sz val="9"/>
    </font>
    <font>
      <name val="Meiryo UI"/>
      <b val="1"/>
      <sz val="10"/>
    </font>
    <font>
      <name val="Meiryo UI"/>
      <color rgb="000000FF"/>
      <sz val="10"/>
    </font>
    <font>
      <name val="Meiryo UI"/>
      <color rgb="00000000"/>
      <sz val="10"/>
    </font>
    <font>
      <name val="Meiryo UI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right style="medium">
        <color rgb="00000000"/>
      </right>
      <top/>
      <bottom/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  <border>
      <right style="medium">
        <color rgb="00000000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5" fillId="0" borderId="0" pivotButton="0" quotePrefix="0" xfId="0"/>
    <xf numFmtId="1" fontId="7" fillId="4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1" fontId="8" fillId="0" borderId="0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166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0" fontId="0" fillId="0" borderId="1" pivotButton="0" quotePrefix="0" xfId="0"/>
    <xf numFmtId="165" fontId="7" fillId="4" borderId="0" applyAlignment="1" pivotButton="0" quotePrefix="0" xfId="0">
      <alignment horizontal="right" vertical="center"/>
    </xf>
    <xf numFmtId="167" fontId="7" fillId="4" borderId="0" applyAlignment="1" pivotButton="0" quotePrefix="0" xfId="0">
      <alignment horizontal="right" vertical="center"/>
    </xf>
    <xf numFmtId="166" fontId="7" fillId="4" borderId="0" applyAlignment="1" pivotButton="0" quotePrefix="0" xfId="0">
      <alignment horizontal="right" vertical="center"/>
    </xf>
    <xf numFmtId="0" fontId="6" fillId="0" borderId="0" pivotButton="0" quotePrefix="0" xfId="0"/>
    <xf numFmtId="165" fontId="8" fillId="0" borderId="0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6" fontId="4" fillId="0" borderId="3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2" fontId="8" fillId="0" borderId="0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6" fontId="4" fillId="0" borderId="5" applyAlignment="1" pivotButton="0" quotePrefix="0" xfId="0">
      <alignment horizontal="right" vertical="center"/>
    </xf>
    <xf numFmtId="166" fontId="4" fillId="0" borderId="4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2" fontId="8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1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/>
    </xf>
    <xf numFmtId="164" fontId="7" fillId="4" borderId="0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168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B1" s="1" t="inlineStr">
        <is>
          <t>BDD バリューアップモデル（中堅製造業買収・プロフォルマ3表連動・Exit試算）</t>
        </is>
      </c>
      <c r="H1" s="2" t="inlineStr">
        <is>
          <t>（単位：百万円）</t>
        </is>
      </c>
    </row>
    <row r="2">
      <c r="A2" s="3" t="inlineStr">
        <is>
          <t>（１）前提・シナリオ</t>
        </is>
      </c>
      <c r="B2" s="3" t="inlineStr">
        <is>
          <t>前提条件・シナリオ切替</t>
        </is>
      </c>
      <c r="C2" s="4" t="inlineStr">
        <is>
          <t>2025A</t>
        </is>
      </c>
      <c r="D2" s="4" t="inlineStr">
        <is>
          <t>2026E</t>
        </is>
      </c>
      <c r="E2" s="4" t="inlineStr">
        <is>
          <t>2027E</t>
        </is>
      </c>
      <c r="F2" s="4" t="inlineStr">
        <is>
          <t>2028E</t>
        </is>
      </c>
      <c r="G2" s="4" t="inlineStr">
        <is>
          <t>2029E</t>
        </is>
      </c>
      <c r="H2" s="4" t="inlineStr">
        <is>
          <t>2030E</t>
        </is>
      </c>
    </row>
    <row r="3">
      <c r="B3" s="5" t="inlineStr">
        <is>
          <t>シナリオ選択（1=Base / 2=Upside / 3=Downside）</t>
        </is>
      </c>
      <c r="C3" s="6" t="n">
        <v>1</v>
      </c>
    </row>
    <row r="4">
      <c r="B4" s="5" t="inlineStr">
        <is>
          <t>選択中シナリオ</t>
        </is>
      </c>
      <c r="C4" s="7">
        <f>CHOOSE($C$3,"Base","Upside","Downside")</f>
        <v/>
      </c>
    </row>
    <row r="5">
      <c r="B5" s="5" t="inlineStr">
        <is>
          <t>経過年数（クロージング＝0）</t>
        </is>
      </c>
      <c r="C5" s="6" t="n">
        <v>0</v>
      </c>
      <c r="D5" s="8">
        <f>C5+1</f>
        <v/>
      </c>
      <c r="E5" s="8">
        <f>D5+1</f>
        <v/>
      </c>
      <c r="F5" s="8">
        <f>E5+1</f>
        <v/>
      </c>
      <c r="G5" s="8">
        <f>F5+1</f>
        <v/>
      </c>
      <c r="H5" s="8">
        <f>G5+1</f>
        <v/>
      </c>
    </row>
    <row r="7">
      <c r="A7" s="3" t="inlineStr"/>
      <c r="B7" s="3" t="inlineStr">
        <is>
          <t>取引・共通前提（スカラー）</t>
        </is>
      </c>
      <c r="C7" s="4" t="inlineStr">
        <is>
          <t>入力値</t>
        </is>
      </c>
    </row>
    <row r="8">
      <c r="B8" s="5" t="inlineStr">
        <is>
          <t>買収倍率（EV/正規化EBITDA）</t>
        </is>
      </c>
      <c r="C8" s="9" t="n">
        <v>7</v>
      </c>
    </row>
    <row r="9">
      <c r="B9" s="5" t="inlineStr">
        <is>
          <t>シニアローン調達倍率（Debt/正規化EBITDA）</t>
        </is>
      </c>
      <c r="C9" s="9" t="n">
        <v>4</v>
      </c>
    </row>
    <row r="10">
      <c r="B10" s="5" t="inlineStr">
        <is>
          <t>シニアローン金利</t>
        </is>
      </c>
      <c r="C10" s="10" t="n">
        <v>0.065</v>
      </c>
    </row>
    <row r="11">
      <c r="B11" s="5" t="inlineStr">
        <is>
          <t>取引費用率（対EV）</t>
        </is>
      </c>
      <c r="C11" s="10" t="n">
        <v>0.025</v>
      </c>
    </row>
    <row r="12">
      <c r="B12" s="5" t="inlineStr">
        <is>
          <t>最低現預金（クロージング時に積立）</t>
        </is>
      </c>
      <c r="C12" s="11" t="n">
        <v>500</v>
      </c>
    </row>
    <row r="13">
      <c r="B13" s="5" t="inlineStr">
        <is>
          <t>実効税率</t>
        </is>
      </c>
      <c r="C13" s="10" t="n">
        <v>0.3</v>
      </c>
    </row>
    <row r="14">
      <c r="B14" s="5" t="inlineStr">
        <is>
          <t>約定返済率（当初元本比・年）</t>
        </is>
      </c>
      <c r="C14" s="10" t="n">
        <v>0.05</v>
      </c>
    </row>
    <row r="15">
      <c r="B15" s="5" t="inlineStr">
        <is>
          <t>キャッシュスイープ率（超過現金に対し）</t>
        </is>
      </c>
      <c r="C15" s="10" t="n">
        <v>0.75</v>
      </c>
    </row>
    <row r="16">
      <c r="B16" s="5" t="inlineStr">
        <is>
          <t>コストシナジー目標（ランレート・年額）</t>
        </is>
      </c>
      <c r="C16" s="11" t="n">
        <v>600</v>
      </c>
    </row>
    <row r="17">
      <c r="B17" s="5" t="inlineStr">
        <is>
          <t>チェック許容誤差</t>
        </is>
      </c>
      <c r="C17" s="12" t="n">
        <v>0.01</v>
      </c>
    </row>
    <row r="19">
      <c r="A19" s="3" t="inlineStr"/>
      <c r="B19" s="3" t="inlineStr">
        <is>
          <t>時系列前提（全シナリオ共通）</t>
        </is>
      </c>
      <c r="C19" s="4" t="inlineStr">
        <is>
          <t>2025A</t>
        </is>
      </c>
      <c r="D19" s="4" t="inlineStr">
        <is>
          <t>2026E</t>
        </is>
      </c>
      <c r="E19" s="4" t="inlineStr">
        <is>
          <t>2027E</t>
        </is>
      </c>
      <c r="F19" s="4" t="inlineStr">
        <is>
          <t>2028E</t>
        </is>
      </c>
      <c r="G19" s="4" t="inlineStr">
        <is>
          <t>2029E</t>
        </is>
      </c>
      <c r="H19" s="4" t="inlineStr">
        <is>
          <t>2030E</t>
        </is>
      </c>
    </row>
    <row r="20">
      <c r="B20" s="5" t="inlineStr">
        <is>
          <t>販管費インフレ率</t>
        </is>
      </c>
      <c r="C20" s="13" t="n"/>
      <c r="D20" s="14" t="n">
        <v>0.02</v>
      </c>
      <c r="E20" s="14" t="n">
        <v>0.02</v>
      </c>
      <c r="F20" s="14" t="n">
        <v>0.02</v>
      </c>
      <c r="G20" s="14" t="n">
        <v>0.02</v>
      </c>
      <c r="H20" s="14" t="n">
        <v>0.02</v>
      </c>
    </row>
    <row r="21">
      <c r="B21" s="5" t="inlineStr">
        <is>
          <t>売掛金回転日数（日）</t>
        </is>
      </c>
      <c r="C21" s="13" t="n"/>
      <c r="D21" s="15" t="n">
        <v>60</v>
      </c>
      <c r="E21" s="15" t="n">
        <v>60</v>
      </c>
      <c r="F21" s="15" t="n">
        <v>60</v>
      </c>
      <c r="G21" s="15" t="n">
        <v>60</v>
      </c>
      <c r="H21" s="15" t="n">
        <v>60</v>
      </c>
    </row>
    <row r="22">
      <c r="B22" s="5" t="inlineStr">
        <is>
          <t>棚卸資産回転日数（日）</t>
        </is>
      </c>
      <c r="C22" s="13" t="n"/>
      <c r="D22" s="15" t="n">
        <v>45</v>
      </c>
      <c r="E22" s="15" t="n">
        <v>45</v>
      </c>
      <c r="F22" s="15" t="n">
        <v>45</v>
      </c>
      <c r="G22" s="15" t="n">
        <v>45</v>
      </c>
      <c r="H22" s="15" t="n">
        <v>45</v>
      </c>
    </row>
    <row r="23">
      <c r="B23" s="5" t="inlineStr">
        <is>
          <t>買掛金回転日数（日）</t>
        </is>
      </c>
      <c r="C23" s="13" t="n"/>
      <c r="D23" s="15" t="n">
        <v>40</v>
      </c>
      <c r="E23" s="15" t="n">
        <v>40</v>
      </c>
      <c r="F23" s="15" t="n">
        <v>40</v>
      </c>
      <c r="G23" s="15" t="n">
        <v>40</v>
      </c>
      <c r="H23" s="15" t="n">
        <v>40</v>
      </c>
    </row>
    <row r="24">
      <c r="B24" s="5" t="inlineStr">
        <is>
          <t>設備投資額（Capex・マイナス）</t>
        </is>
      </c>
      <c r="C24" s="13" t="n"/>
      <c r="D24" s="16" t="n">
        <v>-1000</v>
      </c>
      <c r="E24" s="16" t="n">
        <v>-1000</v>
      </c>
      <c r="F24" s="16" t="n">
        <v>-1000</v>
      </c>
      <c r="G24" s="16" t="n">
        <v>-1000</v>
      </c>
      <c r="H24" s="16" t="n">
        <v>-1000</v>
      </c>
    </row>
    <row r="25">
      <c r="B25" s="5" t="inlineStr">
        <is>
          <t>減価償却率（期首PP&amp;E比）</t>
        </is>
      </c>
      <c r="C25" s="13" t="n"/>
      <c r="D25" s="14" t="n">
        <v>0.1</v>
      </c>
      <c r="E25" s="14" t="n">
        <v>0.1</v>
      </c>
      <c r="F25" s="14" t="n">
        <v>0.1</v>
      </c>
      <c r="G25" s="14" t="n">
        <v>0.1</v>
      </c>
      <c r="H25" s="14" t="n">
        <v>0.1</v>
      </c>
    </row>
    <row r="26">
      <c r="B26" s="5" t="inlineStr">
        <is>
          <t>シナジー実現フェーズイン率</t>
        </is>
      </c>
      <c r="C26" s="13" t="n"/>
      <c r="D26" s="14" t="n">
        <v>0.25</v>
      </c>
      <c r="E26" s="14" t="n">
        <v>0.6</v>
      </c>
      <c r="F26" s="14" t="n">
        <v>1</v>
      </c>
      <c r="G26" s="14" t="n">
        <v>1</v>
      </c>
      <c r="H26" s="14" t="n">
        <v>1</v>
      </c>
    </row>
    <row r="27">
      <c r="B27" s="5" t="inlineStr">
        <is>
          <t>統合一時費用（PMI・マイナス）</t>
        </is>
      </c>
      <c r="C27" s="13" t="n"/>
      <c r="D27" s="16" t="n">
        <v>-300</v>
      </c>
      <c r="E27" s="16" t="n">
        <v>-200</v>
      </c>
      <c r="F27" s="16" t="n">
        <v>0</v>
      </c>
      <c r="G27" s="16" t="n">
        <v>0</v>
      </c>
      <c r="H27" s="16" t="n">
        <v>0</v>
      </c>
    </row>
    <row r="29">
      <c r="A29" s="3" t="inlineStr"/>
      <c r="B29" s="3" t="inlineStr">
        <is>
          <t>シナリオ別ドライバー（KPI）</t>
        </is>
      </c>
      <c r="C29" s="4" t="inlineStr">
        <is>
          <t>2025A</t>
        </is>
      </c>
      <c r="D29" s="4" t="inlineStr">
        <is>
          <t>2026E</t>
        </is>
      </c>
      <c r="E29" s="4" t="inlineStr">
        <is>
          <t>2027E</t>
        </is>
      </c>
      <c r="F29" s="4" t="inlineStr">
        <is>
          <t>2028E</t>
        </is>
      </c>
      <c r="G29" s="4" t="inlineStr">
        <is>
          <t>2029E</t>
        </is>
      </c>
      <c r="H29" s="4" t="inlineStr">
        <is>
          <t>2030E</t>
        </is>
      </c>
    </row>
    <row r="30">
      <c r="B30" s="5" t="inlineStr">
        <is>
          <t>販売数量成長率A（主力製品） - Base</t>
        </is>
      </c>
      <c r="C30" s="13" t="n"/>
      <c r="D30" s="14" t="n">
        <v>0.03</v>
      </c>
      <c r="E30" s="14" t="n">
        <v>0.03</v>
      </c>
      <c r="F30" s="14" t="n">
        <v>0.03</v>
      </c>
      <c r="G30" s="14" t="n">
        <v>0.02</v>
      </c>
      <c r="H30" s="14" t="n">
        <v>0.02</v>
      </c>
    </row>
    <row r="31">
      <c r="B31" s="5" t="inlineStr">
        <is>
          <t>販売数量成長率A（主力製品） - Upside</t>
        </is>
      </c>
      <c r="C31" s="13" t="n"/>
      <c r="D31" s="14" t="n">
        <v>0.05</v>
      </c>
      <c r="E31" s="14" t="n">
        <v>0.05</v>
      </c>
      <c r="F31" s="14" t="n">
        <v>0.04</v>
      </c>
      <c r="G31" s="14" t="n">
        <v>0.04</v>
      </c>
      <c r="H31" s="14" t="n">
        <v>0.03</v>
      </c>
    </row>
    <row r="32">
      <c r="B32" s="5" t="inlineStr">
        <is>
          <t>販売数量成長率A（主力製品） - Downside</t>
        </is>
      </c>
      <c r="C32" s="13" t="n"/>
      <c r="D32" s="14" t="n">
        <v>-0.02</v>
      </c>
      <c r="E32" s="14" t="n">
        <v>-0.01</v>
      </c>
      <c r="F32" s="14" t="n">
        <v>0</v>
      </c>
      <c r="G32" s="14" t="n">
        <v>0.01</v>
      </c>
      <c r="H32" s="14" t="n">
        <v>0.01</v>
      </c>
    </row>
    <row r="33">
      <c r="B33" s="17" t="inlineStr">
        <is>
          <t>販売数量成長率A（主力製品） - 選択</t>
        </is>
      </c>
      <c r="C33" s="13" t="n"/>
      <c r="D33" s="18">
        <f>CHOOSE($C$3,D30,D31,D32)</f>
        <v/>
      </c>
      <c r="E33" s="18">
        <f>CHOOSE($C$3,E30,E31,E32)</f>
        <v/>
      </c>
      <c r="F33" s="18">
        <f>CHOOSE($C$3,F30,F31,F32)</f>
        <v/>
      </c>
      <c r="G33" s="18">
        <f>CHOOSE($C$3,G30,G31,G32)</f>
        <v/>
      </c>
      <c r="H33" s="18">
        <f>CHOOSE($C$3,H30,H31,H32)</f>
        <v/>
      </c>
    </row>
    <row r="34">
      <c r="B34" s="5" t="inlineStr">
        <is>
          <t>販売数量成長率B（成長製品） - Base</t>
        </is>
      </c>
      <c r="C34" s="13" t="n"/>
      <c r="D34" s="14" t="n">
        <v>0.06</v>
      </c>
      <c r="E34" s="14" t="n">
        <v>0.06</v>
      </c>
      <c r="F34" s="14" t="n">
        <v>0.05</v>
      </c>
      <c r="G34" s="14" t="n">
        <v>0.05</v>
      </c>
      <c r="H34" s="14" t="n">
        <v>0.04</v>
      </c>
    </row>
    <row r="35">
      <c r="B35" s="5" t="inlineStr">
        <is>
          <t>販売数量成長率B（成長製品） - Upside</t>
        </is>
      </c>
      <c r="C35" s="13" t="n"/>
      <c r="D35" s="14" t="n">
        <v>0.09</v>
      </c>
      <c r="E35" s="14" t="n">
        <v>0.09</v>
      </c>
      <c r="F35" s="14" t="n">
        <v>0.08</v>
      </c>
      <c r="G35" s="14" t="n">
        <v>0.07000000000000001</v>
      </c>
      <c r="H35" s="14" t="n">
        <v>0.06</v>
      </c>
    </row>
    <row r="36">
      <c r="B36" s="5" t="inlineStr">
        <is>
          <t>販売数量成長率B（成長製品） - Downside</t>
        </is>
      </c>
      <c r="C36" s="13" t="n"/>
      <c r="D36" s="14" t="n">
        <v>0.02</v>
      </c>
      <c r="E36" s="14" t="n">
        <v>0.01</v>
      </c>
      <c r="F36" s="14" t="n">
        <v>0.02</v>
      </c>
      <c r="G36" s="14" t="n">
        <v>0.02</v>
      </c>
      <c r="H36" s="14" t="n">
        <v>0.02</v>
      </c>
    </row>
    <row r="37">
      <c r="B37" s="17" t="inlineStr">
        <is>
          <t>販売数量成長率B（成長製品） - 選択</t>
        </is>
      </c>
      <c r="C37" s="13" t="n"/>
      <c r="D37" s="18">
        <f>CHOOSE($C$3,D34,D35,D36)</f>
        <v/>
      </c>
      <c r="E37" s="18">
        <f>CHOOSE($C$3,E34,E35,E36)</f>
        <v/>
      </c>
      <c r="F37" s="18">
        <f>CHOOSE($C$3,F34,F35,F36)</f>
        <v/>
      </c>
      <c r="G37" s="18">
        <f>CHOOSE($C$3,G34,G35,G36)</f>
        <v/>
      </c>
      <c r="H37" s="18">
        <f>CHOOSE($C$3,H34,H35,H36)</f>
        <v/>
      </c>
    </row>
    <row r="38">
      <c r="B38" s="5" t="inlineStr">
        <is>
          <t>販売単価上昇率 - Base</t>
        </is>
      </c>
      <c r="C38" s="13" t="n"/>
      <c r="D38" s="14" t="n">
        <v>0.01</v>
      </c>
      <c r="E38" s="14" t="n">
        <v>0.01</v>
      </c>
      <c r="F38" s="14" t="n">
        <v>0.01</v>
      </c>
      <c r="G38" s="14" t="n">
        <v>0.01</v>
      </c>
      <c r="H38" s="14" t="n">
        <v>0.01</v>
      </c>
    </row>
    <row r="39">
      <c r="B39" s="5" t="inlineStr">
        <is>
          <t>販売単価上昇率 - Upside</t>
        </is>
      </c>
      <c r="C39" s="13" t="n"/>
      <c r="D39" s="14" t="n">
        <v>0.015</v>
      </c>
      <c r="E39" s="14" t="n">
        <v>0.015</v>
      </c>
      <c r="F39" s="14" t="n">
        <v>0.015</v>
      </c>
      <c r="G39" s="14" t="n">
        <v>0.015</v>
      </c>
      <c r="H39" s="14" t="n">
        <v>0.015</v>
      </c>
    </row>
    <row r="40">
      <c r="B40" s="5" t="inlineStr">
        <is>
          <t>販売単価上昇率 - Downside</t>
        </is>
      </c>
      <c r="C40" s="13" t="n"/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</row>
    <row r="41">
      <c r="B41" s="17" t="inlineStr">
        <is>
          <t>販売単価上昇率 - 選択</t>
        </is>
      </c>
      <c r="C41" s="13" t="n"/>
      <c r="D41" s="18">
        <f>CHOOSE($C$3,D38,D39,D40)</f>
        <v/>
      </c>
      <c r="E41" s="18">
        <f>CHOOSE($C$3,E38,E39,E40)</f>
        <v/>
      </c>
      <c r="F41" s="18">
        <f>CHOOSE($C$3,F38,F39,F40)</f>
        <v/>
      </c>
      <c r="G41" s="18">
        <f>CHOOSE($C$3,G38,G39,G40)</f>
        <v/>
      </c>
      <c r="H41" s="18">
        <f>CHOOSE($C$3,H38,H39,H40)</f>
        <v/>
      </c>
    </row>
    <row r="42">
      <c r="B42" s="5" t="inlineStr">
        <is>
          <t>売上原価率 - Base</t>
        </is>
      </c>
      <c r="C42" s="13" t="n"/>
      <c r="D42" s="14" t="n">
        <v>0.68</v>
      </c>
      <c r="E42" s="14" t="n">
        <v>0.675</v>
      </c>
      <c r="F42" s="14" t="n">
        <v>0.67</v>
      </c>
      <c r="G42" s="14" t="n">
        <v>0.67</v>
      </c>
      <c r="H42" s="14" t="n">
        <v>0.67</v>
      </c>
    </row>
    <row r="43">
      <c r="B43" s="5" t="inlineStr">
        <is>
          <t>売上原価率 - Upside</t>
        </is>
      </c>
      <c r="C43" s="13" t="n"/>
      <c r="D43" s="14" t="n">
        <v>0.675</v>
      </c>
      <c r="E43" s="14" t="n">
        <v>0.665</v>
      </c>
      <c r="F43" s="14" t="n">
        <v>0.66</v>
      </c>
      <c r="G43" s="14" t="n">
        <v>0.655</v>
      </c>
      <c r="H43" s="14" t="n">
        <v>0.655</v>
      </c>
    </row>
    <row r="44">
      <c r="B44" s="5" t="inlineStr">
        <is>
          <t>売上原価率 - Downside</t>
        </is>
      </c>
      <c r="C44" s="13" t="n"/>
      <c r="D44" s="14" t="n">
        <v>0.6899999999999999</v>
      </c>
      <c r="E44" s="14" t="n">
        <v>0.6899999999999999</v>
      </c>
      <c r="F44" s="14" t="n">
        <v>0.6850000000000001</v>
      </c>
      <c r="G44" s="14" t="n">
        <v>0.6850000000000001</v>
      </c>
      <c r="H44" s="14" t="n">
        <v>0.6850000000000001</v>
      </c>
    </row>
    <row r="45">
      <c r="B45" s="17" t="inlineStr">
        <is>
          <t>売上原価率 - 選択</t>
        </is>
      </c>
      <c r="C45" s="10" t="n">
        <v>0.68</v>
      </c>
      <c r="D45" s="18">
        <f>CHOOSE($C$3,D42,D43,D44)</f>
        <v/>
      </c>
      <c r="E45" s="18">
        <f>CHOOSE($C$3,E42,E43,E44)</f>
        <v/>
      </c>
      <c r="F45" s="18">
        <f>CHOOSE($C$3,F42,F43,F44)</f>
        <v/>
      </c>
      <c r="G45" s="18">
        <f>CHOOSE($C$3,G42,G43,G44)</f>
        <v/>
      </c>
      <c r="H45" s="18">
        <f>CHOOSE($C$3,H42,H43,H44)</f>
        <v/>
      </c>
    </row>
    <row r="46">
      <c r="B46" s="5" t="inlineStr">
        <is>
          <t>シナジー実現率 - Base</t>
        </is>
      </c>
      <c r="C46" s="13" t="n"/>
      <c r="D46" s="14" t="n">
        <v>0.8</v>
      </c>
      <c r="E46" s="14" t="n">
        <v>0.8</v>
      </c>
      <c r="F46" s="14" t="n">
        <v>0.8</v>
      </c>
      <c r="G46" s="14" t="n">
        <v>0.8</v>
      </c>
      <c r="H46" s="14" t="n">
        <v>0.8</v>
      </c>
    </row>
    <row r="47">
      <c r="B47" s="5" t="inlineStr">
        <is>
          <t>シナジー実現率 - Upside</t>
        </is>
      </c>
      <c r="C47" s="13" t="n"/>
      <c r="D47" s="14" t="n">
        <v>1</v>
      </c>
      <c r="E47" s="14" t="n">
        <v>1</v>
      </c>
      <c r="F47" s="14" t="n">
        <v>1</v>
      </c>
      <c r="G47" s="14" t="n">
        <v>1</v>
      </c>
      <c r="H47" s="14" t="n">
        <v>1</v>
      </c>
    </row>
    <row r="48">
      <c r="B48" s="5" t="inlineStr">
        <is>
          <t>シナジー実現率 - Downside</t>
        </is>
      </c>
      <c r="C48" s="13" t="n"/>
      <c r="D48" s="14" t="n">
        <v>0.5</v>
      </c>
      <c r="E48" s="14" t="n">
        <v>0.5</v>
      </c>
      <c r="F48" s="14" t="n">
        <v>0.5</v>
      </c>
      <c r="G48" s="14" t="n">
        <v>0.5</v>
      </c>
      <c r="H48" s="14" t="n">
        <v>0.5</v>
      </c>
    </row>
    <row r="49">
      <c r="B49" s="17" t="inlineStr">
        <is>
          <t>シナジー実現率 - 選択</t>
        </is>
      </c>
      <c r="C49" s="13" t="n"/>
      <c r="D49" s="18">
        <f>CHOOSE($C$3,D46,D47,D48)</f>
        <v/>
      </c>
      <c r="E49" s="18">
        <f>CHOOSE($C$3,E46,E47,E48)</f>
        <v/>
      </c>
      <c r="F49" s="18">
        <f>CHOOSE($C$3,F46,F47,F48)</f>
        <v/>
      </c>
      <c r="G49" s="18">
        <f>CHOOSE($C$3,G46,G47,G48)</f>
        <v/>
      </c>
      <c r="H49" s="18">
        <f>CHOOSE($C$3,H46,H47,H48)</f>
        <v/>
      </c>
    </row>
    <row r="50">
      <c r="B50" s="5" t="inlineStr">
        <is>
          <t>Exit倍率 - Base</t>
        </is>
      </c>
      <c r="C50" s="9" t="n">
        <v>7</v>
      </c>
    </row>
    <row r="51">
      <c r="B51" s="5" t="inlineStr">
        <is>
          <t>Exit倍率 - Upside</t>
        </is>
      </c>
      <c r="C51" s="9" t="n">
        <v>8</v>
      </c>
    </row>
    <row r="52">
      <c r="B52" s="5" t="inlineStr">
        <is>
          <t>Exit倍率 - Downside</t>
        </is>
      </c>
      <c r="C52" s="9" t="n">
        <v>6</v>
      </c>
    </row>
    <row r="53">
      <c r="B53" s="17" t="inlineStr">
        <is>
          <t>Exit倍率 - 選択</t>
        </is>
      </c>
      <c r="C53" s="19">
        <f>CHOOSE($C$3,$C$50,$C$51,$C$52)</f>
        <v/>
      </c>
    </row>
    <row r="55">
      <c r="A55" s="3" t="inlineStr">
        <is>
          <t>（２）EBITDA正規化</t>
        </is>
      </c>
      <c r="B55" s="3" t="inlineStr">
        <is>
          <t>EBITDA正規化調整（BDD・基準年）</t>
        </is>
      </c>
      <c r="C55" s="4" t="inlineStr">
        <is>
          <t>2025A</t>
        </is>
      </c>
    </row>
    <row r="56">
      <c r="B56" s="5" t="inlineStr">
        <is>
          <t>オーナー役員報酬の市場水準超過分（加算）</t>
        </is>
      </c>
      <c r="C56" s="11" t="n">
        <v>120</v>
      </c>
    </row>
    <row r="57">
      <c r="B57" s="5" t="inlineStr">
        <is>
          <t>事業再編費用・一時的（加算）</t>
        </is>
      </c>
      <c r="C57" s="11" t="n">
        <v>300</v>
      </c>
    </row>
    <row r="58">
      <c r="B58" s="5" t="inlineStr">
        <is>
          <t>訴訟関連費用・非経常（加算）</t>
        </is>
      </c>
      <c r="C58" s="11" t="n">
        <v>150</v>
      </c>
    </row>
    <row r="59">
      <c r="B59" s="5" t="inlineStr">
        <is>
          <t>固定資産売却益・非経常（減算）</t>
        </is>
      </c>
      <c r="C59" s="11" t="n">
        <v>-80</v>
      </c>
    </row>
    <row r="60">
      <c r="B60" s="5" t="inlineStr">
        <is>
          <t>正規化調整合計（販管費内の調整）</t>
        </is>
      </c>
      <c r="C60" s="20">
        <f>SUM(C56:C59)</f>
        <v/>
      </c>
    </row>
    <row r="62">
      <c r="A62" s="3" t="inlineStr">
        <is>
          <t>（３）KPI・売上ビルド</t>
        </is>
      </c>
      <c r="B62" s="3" t="inlineStr">
        <is>
          <t>KPIドライバー（数量×単価）</t>
        </is>
      </c>
      <c r="C62" s="4" t="inlineStr">
        <is>
          <t>2025A</t>
        </is>
      </c>
      <c r="D62" s="4" t="inlineStr">
        <is>
          <t>2026E</t>
        </is>
      </c>
      <c r="E62" s="4" t="inlineStr">
        <is>
          <t>2027E</t>
        </is>
      </c>
      <c r="F62" s="4" t="inlineStr">
        <is>
          <t>2028E</t>
        </is>
      </c>
      <c r="G62" s="4" t="inlineStr">
        <is>
          <t>2029E</t>
        </is>
      </c>
      <c r="H62" s="4" t="inlineStr">
        <is>
          <t>2030E</t>
        </is>
      </c>
    </row>
    <row r="63">
      <c r="B63" s="5" t="inlineStr">
        <is>
          <t>販売数量A（千個）</t>
        </is>
      </c>
      <c r="C63" s="11" t="n">
        <v>8000</v>
      </c>
      <c r="D63" s="21">
        <f>C63*(1+D33)</f>
        <v/>
      </c>
      <c r="E63" s="21">
        <f>D63*(1+E33)</f>
        <v/>
      </c>
      <c r="F63" s="21">
        <f>E63*(1+F33)</f>
        <v/>
      </c>
      <c r="G63" s="21">
        <f>F63*(1+G33)</f>
        <v/>
      </c>
      <c r="H63" s="21">
        <f>G63*(1+H33)</f>
        <v/>
      </c>
    </row>
    <row r="64">
      <c r="B64" s="5" t="inlineStr">
        <is>
          <t>販売単価A（千円/個）</t>
        </is>
      </c>
      <c r="C64" s="12" t="n">
        <v>2.5</v>
      </c>
      <c r="D64" s="22">
        <f>C64*(1+D41)</f>
        <v/>
      </c>
      <c r="E64" s="22">
        <f>D64*(1+E41)</f>
        <v/>
      </c>
      <c r="F64" s="22">
        <f>E64*(1+F41)</f>
        <v/>
      </c>
      <c r="G64" s="22">
        <f>F64*(1+G41)</f>
        <v/>
      </c>
      <c r="H64" s="22">
        <f>G64*(1+H41)</f>
        <v/>
      </c>
    </row>
    <row r="65">
      <c r="B65" s="5" t="inlineStr">
        <is>
          <t>販売数量B（千個）</t>
        </is>
      </c>
      <c r="C65" s="11" t="n">
        <v>3000</v>
      </c>
      <c r="D65" s="21">
        <f>C65*(1+D37)</f>
        <v/>
      </c>
      <c r="E65" s="21">
        <f>D65*(1+E37)</f>
        <v/>
      </c>
      <c r="F65" s="21">
        <f>E65*(1+F37)</f>
        <v/>
      </c>
      <c r="G65" s="21">
        <f>F65*(1+G37)</f>
        <v/>
      </c>
      <c r="H65" s="21">
        <f>G65*(1+H37)</f>
        <v/>
      </c>
    </row>
    <row r="66">
      <c r="B66" s="5" t="inlineStr">
        <is>
          <t>販売単価B（千円/個）</t>
        </is>
      </c>
      <c r="C66" s="12" t="n">
        <v>4</v>
      </c>
      <c r="D66" s="22">
        <f>C66*(1+D41)</f>
        <v/>
      </c>
      <c r="E66" s="22">
        <f>D66*(1+E41)</f>
        <v/>
      </c>
      <c r="F66" s="22">
        <f>E66*(1+F41)</f>
        <v/>
      </c>
      <c r="G66" s="22">
        <f>F66*(1+G41)</f>
        <v/>
      </c>
      <c r="H66" s="22">
        <f>G66*(1+H41)</f>
        <v/>
      </c>
    </row>
    <row r="67">
      <c r="B67" s="5" t="inlineStr">
        <is>
          <t>売上高A（数量×単価）</t>
        </is>
      </c>
      <c r="C67" s="23">
        <f>C63*C64</f>
        <v/>
      </c>
      <c r="D67" s="21">
        <f>D63*D64</f>
        <v/>
      </c>
      <c r="E67" s="21">
        <f>E63*E64</f>
        <v/>
      </c>
      <c r="F67" s="21">
        <f>F63*F64</f>
        <v/>
      </c>
      <c r="G67" s="21">
        <f>G63*G64</f>
        <v/>
      </c>
      <c r="H67" s="21">
        <f>H63*H64</f>
        <v/>
      </c>
    </row>
    <row r="68">
      <c r="B68" s="5" t="inlineStr">
        <is>
          <t>売上高B（数量×単価）</t>
        </is>
      </c>
      <c r="C68" s="23">
        <f>C65*C66</f>
        <v/>
      </c>
      <c r="D68" s="21">
        <f>D65*D66</f>
        <v/>
      </c>
      <c r="E68" s="21">
        <f>E65*E66</f>
        <v/>
      </c>
      <c r="F68" s="21">
        <f>F65*F66</f>
        <v/>
      </c>
      <c r="G68" s="21">
        <f>G65*G66</f>
        <v/>
      </c>
      <c r="H68" s="21">
        <f>H65*H66</f>
        <v/>
      </c>
    </row>
    <row r="69">
      <c r="B69" s="17" t="inlineStr">
        <is>
          <t>売上高合計</t>
        </is>
      </c>
      <c r="C69" s="20">
        <f>C67+C68</f>
        <v/>
      </c>
      <c r="D69" s="24">
        <f>D67+D68</f>
        <v/>
      </c>
      <c r="E69" s="24">
        <f>E67+E68</f>
        <v/>
      </c>
      <c r="F69" s="24">
        <f>F67+F68</f>
        <v/>
      </c>
      <c r="G69" s="24">
        <f>G67+G68</f>
        <v/>
      </c>
      <c r="H69" s="24">
        <f>H67+H68</f>
        <v/>
      </c>
    </row>
    <row r="70">
      <c r="B70" s="5" t="inlineStr">
        <is>
          <t>売上成長率</t>
        </is>
      </c>
      <c r="C70" s="13" t="n"/>
      <c r="D70" s="18">
        <f>D69/C69-1</f>
        <v/>
      </c>
      <c r="E70" s="18">
        <f>E69/D69-1</f>
        <v/>
      </c>
      <c r="F70" s="18">
        <f>F69/E69-1</f>
        <v/>
      </c>
      <c r="G70" s="18">
        <f>G69/F69-1</f>
        <v/>
      </c>
      <c r="H70" s="18">
        <f>H69/G69-1</f>
        <v/>
      </c>
    </row>
    <row r="72">
      <c r="A72" s="3" t="inlineStr">
        <is>
          <t>（４）損益計算書</t>
        </is>
      </c>
      <c r="B72" s="3" t="inlineStr">
        <is>
          <t>プロフォルマ損益計算書（PL）</t>
        </is>
      </c>
      <c r="C72" s="4" t="inlineStr">
        <is>
          <t>2025A</t>
        </is>
      </c>
      <c r="D72" s="4" t="inlineStr">
        <is>
          <t>2026E</t>
        </is>
      </c>
      <c r="E72" s="4" t="inlineStr">
        <is>
          <t>2027E</t>
        </is>
      </c>
      <c r="F72" s="4" t="inlineStr">
        <is>
          <t>2028E</t>
        </is>
      </c>
      <c r="G72" s="4" t="inlineStr">
        <is>
          <t>2029E</t>
        </is>
      </c>
      <c r="H72" s="4" t="inlineStr">
        <is>
          <t>2030E</t>
        </is>
      </c>
    </row>
    <row r="73">
      <c r="B73" s="17" t="inlineStr">
        <is>
          <t>売上高</t>
        </is>
      </c>
      <c r="C73" s="23">
        <f>C69</f>
        <v/>
      </c>
      <c r="D73" s="21">
        <f>D69</f>
        <v/>
      </c>
      <c r="E73" s="21">
        <f>E69</f>
        <v/>
      </c>
      <c r="F73" s="21">
        <f>F69</f>
        <v/>
      </c>
      <c r="G73" s="21">
        <f>G69</f>
        <v/>
      </c>
      <c r="H73" s="21">
        <f>H69</f>
        <v/>
      </c>
    </row>
    <row r="74">
      <c r="B74" s="5" t="inlineStr">
        <is>
          <t>売上原価</t>
        </is>
      </c>
      <c r="C74" s="23">
        <f>-C73*C45</f>
        <v/>
      </c>
      <c r="D74" s="21">
        <f>-D73*D45</f>
        <v/>
      </c>
      <c r="E74" s="21">
        <f>-E73*E45</f>
        <v/>
      </c>
      <c r="F74" s="21">
        <f>-F73*F45</f>
        <v/>
      </c>
      <c r="G74" s="21">
        <f>-G73*G45</f>
        <v/>
      </c>
      <c r="H74" s="21">
        <f>-H73*H45</f>
        <v/>
      </c>
    </row>
    <row r="75">
      <c r="B75" s="17" t="inlineStr">
        <is>
          <t>売上総利益</t>
        </is>
      </c>
      <c r="C75" s="20">
        <f>C73+C74</f>
        <v/>
      </c>
      <c r="D75" s="24">
        <f>D73+D74</f>
        <v/>
      </c>
      <c r="E75" s="24">
        <f>E73+E74</f>
        <v/>
      </c>
      <c r="F75" s="24">
        <f>F73+F74</f>
        <v/>
      </c>
      <c r="G75" s="24">
        <f>G73+G74</f>
        <v/>
      </c>
      <c r="H75" s="24">
        <f>H73+H74</f>
        <v/>
      </c>
    </row>
    <row r="76">
      <c r="B76" s="5" t="inlineStr">
        <is>
          <t>販売費及び一般管理費（予測は正規化後ベース×インフレ）</t>
        </is>
      </c>
      <c r="C76" s="11" t="n">
        <v>-6400</v>
      </c>
      <c r="D76" s="21">
        <f>C82*(1+D20)</f>
        <v/>
      </c>
      <c r="E76" s="21">
        <f>D82*(1+E20)</f>
        <v/>
      </c>
      <c r="F76" s="21">
        <f>E82*(1+F20)</f>
        <v/>
      </c>
      <c r="G76" s="21">
        <f>F82*(1+G20)</f>
        <v/>
      </c>
      <c r="H76" s="21">
        <f>G82*(1+H20)</f>
        <v/>
      </c>
    </row>
    <row r="77">
      <c r="B77" s="5" t="inlineStr">
        <is>
          <t>コストシナジー（ランレート×フェーズイン×実現率）</t>
        </is>
      </c>
      <c r="C77" s="13" t="n"/>
      <c r="D77" s="21">
        <f>$C$16*D26*D49</f>
        <v/>
      </c>
      <c r="E77" s="21">
        <f>$C$16*E26*E49</f>
        <v/>
      </c>
      <c r="F77" s="21">
        <f>$C$16*F26*F49</f>
        <v/>
      </c>
      <c r="G77" s="21">
        <f>$C$16*G26*G49</f>
        <v/>
      </c>
      <c r="H77" s="21">
        <f>$C$16*H26*H49</f>
        <v/>
      </c>
    </row>
    <row r="78">
      <c r="B78" s="17" t="inlineStr">
        <is>
          <t>EBITDA（報告ベース）</t>
        </is>
      </c>
      <c r="C78" s="20">
        <f>C75+C76+C77</f>
        <v/>
      </c>
      <c r="D78" s="24">
        <f>D75+D76+D77</f>
        <v/>
      </c>
      <c r="E78" s="24">
        <f>E75+E76+E77</f>
        <v/>
      </c>
      <c r="F78" s="24">
        <f>F75+F76+F77</f>
        <v/>
      </c>
      <c r="G78" s="24">
        <f>G75+G76+G77</f>
        <v/>
      </c>
      <c r="H78" s="24">
        <f>H75+H76+H77</f>
        <v/>
      </c>
    </row>
    <row r="79">
      <c r="B79" s="5" t="inlineStr">
        <is>
          <t>正規化調整（基準年のみ）</t>
        </is>
      </c>
      <c r="C79" s="23">
        <f>C60</f>
        <v/>
      </c>
    </row>
    <row r="80">
      <c r="B80" s="17" t="inlineStr">
        <is>
          <t>調整後EBITDA（正規化ベース）</t>
        </is>
      </c>
      <c r="C80" s="25">
        <f>C78+C79</f>
        <v/>
      </c>
      <c r="D80" s="26">
        <f>D78+D79</f>
        <v/>
      </c>
      <c r="E80" s="26">
        <f>E78+E79</f>
        <v/>
      </c>
      <c r="F80" s="26">
        <f>F78+F79</f>
        <v/>
      </c>
      <c r="G80" s="26">
        <f>G78+G79</f>
        <v/>
      </c>
      <c r="H80" s="26">
        <f>H78+H79</f>
        <v/>
      </c>
    </row>
    <row r="81">
      <c r="B81" s="5" t="inlineStr">
        <is>
          <t>調整後EBITDAマージン</t>
        </is>
      </c>
      <c r="C81" s="27">
        <f>C80/C73</f>
        <v/>
      </c>
      <c r="D81" s="18">
        <f>D80/D73</f>
        <v/>
      </c>
      <c r="E81" s="18">
        <f>E80/E73</f>
        <v/>
      </c>
      <c r="F81" s="18">
        <f>F80/F73</f>
        <v/>
      </c>
      <c r="G81" s="18">
        <f>G80/G73</f>
        <v/>
      </c>
      <c r="H81" s="18">
        <f>H80/H73</f>
        <v/>
      </c>
    </row>
    <row r="82">
      <c r="B82" s="5" t="inlineStr">
        <is>
          <t>（参考）正規化後販管費</t>
        </is>
      </c>
      <c r="C82" s="23">
        <f>C76+C79</f>
        <v/>
      </c>
      <c r="D82" s="21">
        <f>D76</f>
        <v/>
      </c>
      <c r="E82" s="21">
        <f>E76</f>
        <v/>
      </c>
      <c r="F82" s="21">
        <f>F76</f>
        <v/>
      </c>
      <c r="G82" s="21">
        <f>G76</f>
        <v/>
      </c>
      <c r="H82" s="21">
        <f>H76</f>
        <v/>
      </c>
    </row>
    <row r="83">
      <c r="B83" s="5" t="inlineStr">
        <is>
          <t>統合一時費用</t>
        </is>
      </c>
      <c r="C83" s="13" t="n"/>
      <c r="D83" s="21">
        <f>D27</f>
        <v/>
      </c>
      <c r="E83" s="21">
        <f>E27</f>
        <v/>
      </c>
      <c r="F83" s="21">
        <f>F27</f>
        <v/>
      </c>
      <c r="G83" s="21">
        <f>G27</f>
        <v/>
      </c>
      <c r="H83" s="21">
        <f>H27</f>
        <v/>
      </c>
    </row>
    <row r="84">
      <c r="B84" s="5" t="inlineStr">
        <is>
          <t>減価償却費</t>
        </is>
      </c>
      <c r="C84" s="11" t="n">
        <v>-900</v>
      </c>
      <c r="D84" s="21">
        <f>D120</f>
        <v/>
      </c>
      <c r="E84" s="21">
        <f>E120</f>
        <v/>
      </c>
      <c r="F84" s="21">
        <f>F120</f>
        <v/>
      </c>
      <c r="G84" s="21">
        <f>G120</f>
        <v/>
      </c>
      <c r="H84" s="21">
        <f>H120</f>
        <v/>
      </c>
    </row>
    <row r="85">
      <c r="B85" s="17" t="inlineStr">
        <is>
          <t>営業利益（EBIT）</t>
        </is>
      </c>
      <c r="C85" s="20">
        <f>C78+C83+C84</f>
        <v/>
      </c>
      <c r="D85" s="24">
        <f>D78+D83+D84</f>
        <v/>
      </c>
      <c r="E85" s="24">
        <f>E78+E83+E84</f>
        <v/>
      </c>
      <c r="F85" s="24">
        <f>F78+F83+F84</f>
        <v/>
      </c>
      <c r="G85" s="24">
        <f>G78+G83+G84</f>
        <v/>
      </c>
      <c r="H85" s="24">
        <f>H78+H83+H84</f>
        <v/>
      </c>
    </row>
    <row r="86">
      <c r="B86" s="5" t="inlineStr">
        <is>
          <t>支払利息（期首残高ベース）</t>
        </is>
      </c>
      <c r="C86" s="13" t="n"/>
      <c r="D86" s="21">
        <f>-D136</f>
        <v/>
      </c>
      <c r="E86" s="21">
        <f>-E136</f>
        <v/>
      </c>
      <c r="F86" s="21">
        <f>-F136</f>
        <v/>
      </c>
      <c r="G86" s="21">
        <f>-G136</f>
        <v/>
      </c>
      <c r="H86" s="21">
        <f>-H136</f>
        <v/>
      </c>
    </row>
    <row r="87">
      <c r="B87" s="5" t="inlineStr">
        <is>
          <t>税引前当期純利益</t>
        </is>
      </c>
      <c r="C87" s="13" t="n"/>
      <c r="D87" s="24">
        <f>D85+D86</f>
        <v/>
      </c>
      <c r="E87" s="24">
        <f>E85+E86</f>
        <v/>
      </c>
      <c r="F87" s="24">
        <f>F85+F86</f>
        <v/>
      </c>
      <c r="G87" s="24">
        <f>G85+G86</f>
        <v/>
      </c>
      <c r="H87" s="24">
        <f>H85+H86</f>
        <v/>
      </c>
    </row>
    <row r="88">
      <c r="B88" s="5" t="inlineStr">
        <is>
          <t>法人税等</t>
        </is>
      </c>
      <c r="C88" s="13" t="n"/>
      <c r="D88" s="21">
        <f>-MAX(0,D87*$C$13)</f>
        <v/>
      </c>
      <c r="E88" s="21">
        <f>-MAX(0,E87*$C$13)</f>
        <v/>
      </c>
      <c r="F88" s="21">
        <f>-MAX(0,F87*$C$13)</f>
        <v/>
      </c>
      <c r="G88" s="21">
        <f>-MAX(0,G87*$C$13)</f>
        <v/>
      </c>
      <c r="H88" s="21">
        <f>-MAX(0,H87*$C$13)</f>
        <v/>
      </c>
    </row>
    <row r="89">
      <c r="B89" s="17" t="inlineStr">
        <is>
          <t>税引後当期純利益</t>
        </is>
      </c>
      <c r="C89" s="13" t="n"/>
      <c r="D89" s="26">
        <f>D87+D88</f>
        <v/>
      </c>
      <c r="E89" s="26">
        <f>E87+E88</f>
        <v/>
      </c>
      <c r="F89" s="26">
        <f>F87+F88</f>
        <v/>
      </c>
      <c r="G89" s="26">
        <f>G87+G88</f>
        <v/>
      </c>
      <c r="H89" s="26">
        <f>H87+H88</f>
        <v/>
      </c>
    </row>
    <row r="91">
      <c r="A91" s="3" t="inlineStr">
        <is>
          <t>（５）取引・クロージング</t>
        </is>
      </c>
      <c r="B91" s="3" t="inlineStr">
        <is>
          <t>資金使途・調達（Sources &amp; Uses）</t>
        </is>
      </c>
      <c r="C91" s="4" t="inlineStr">
        <is>
          <t>金額</t>
        </is>
      </c>
    </row>
    <row r="92">
      <c r="B92" s="5" t="inlineStr">
        <is>
          <t>【使途】事業価値（EV＝正規化EBITDA×買収倍率）</t>
        </is>
      </c>
      <c r="C92" s="23">
        <f>C80*$C$8</f>
        <v/>
      </c>
    </row>
    <row r="93">
      <c r="B93" s="5" t="inlineStr">
        <is>
          <t>【使途】取引費用</t>
        </is>
      </c>
      <c r="C93" s="23">
        <f>C92*$C$11</f>
        <v/>
      </c>
    </row>
    <row r="94">
      <c r="B94" s="5" t="inlineStr">
        <is>
          <t>【使途】最低現預金の積立</t>
        </is>
      </c>
      <c r="C94" s="23">
        <f>$C$12</f>
        <v/>
      </c>
    </row>
    <row r="95">
      <c r="B95" s="17" t="inlineStr">
        <is>
          <t>使途合計</t>
        </is>
      </c>
      <c r="C95" s="25">
        <f>SUM(C92:C94)</f>
        <v/>
      </c>
    </row>
    <row r="96">
      <c r="B96" s="5" t="inlineStr">
        <is>
          <t>【調達】シニアローン（調達倍率×正規化EBITDA）</t>
        </is>
      </c>
      <c r="C96" s="23">
        <f>$C$9*C80</f>
        <v/>
      </c>
    </row>
    <row r="97">
      <c r="B97" s="5" t="inlineStr">
        <is>
          <t>【調達】スポンサー出資（差額で充足）</t>
        </is>
      </c>
      <c r="C97" s="23">
        <f>C95-C96</f>
        <v/>
      </c>
    </row>
    <row r="98">
      <c r="B98" s="17" t="inlineStr">
        <is>
          <t>調達合計</t>
        </is>
      </c>
      <c r="C98" s="25">
        <f>C96+C97</f>
        <v/>
      </c>
    </row>
    <row r="99">
      <c r="B99" s="5" t="inlineStr">
        <is>
          <t>（参考）出資比率（Equity/調達合計）</t>
        </is>
      </c>
      <c r="C99" s="27">
        <f>C97/C98</f>
        <v/>
      </c>
    </row>
    <row r="100">
      <c r="B100" s="5" t="inlineStr">
        <is>
          <t>（参考）EV/報告EBITDA倍率</t>
        </is>
      </c>
      <c r="C100" s="19">
        <f>C92/C78</f>
        <v/>
      </c>
    </row>
    <row r="102">
      <c r="A102" s="3" t="inlineStr"/>
      <c r="B102" s="3" t="inlineStr">
        <is>
          <t>クロージングBS（キャッシュフリー・デットフリー）</t>
        </is>
      </c>
      <c r="C102" s="4" t="inlineStr">
        <is>
          <t>買収前</t>
        </is>
      </c>
      <c r="D102" s="4" t="inlineStr">
        <is>
          <t>買収調整</t>
        </is>
      </c>
      <c r="E102" s="4" t="inlineStr">
        <is>
          <t>PF</t>
        </is>
      </c>
    </row>
    <row r="103">
      <c r="B103" s="5" t="inlineStr">
        <is>
          <t>現預金</t>
        </is>
      </c>
      <c r="C103" s="13" t="n"/>
      <c r="D103" s="21">
        <f>C94</f>
        <v/>
      </c>
      <c r="E103" s="21">
        <f>C103+D103</f>
        <v/>
      </c>
    </row>
    <row r="104">
      <c r="B104" s="5" t="inlineStr">
        <is>
          <t>売掛金</t>
        </is>
      </c>
      <c r="C104" s="11" t="n">
        <v>5260</v>
      </c>
      <c r="E104" s="21">
        <f>C104+D104</f>
        <v/>
      </c>
    </row>
    <row r="105">
      <c r="B105" s="5" t="inlineStr">
        <is>
          <t>棚卸資産</t>
        </is>
      </c>
      <c r="C105" s="11" t="n">
        <v>2700</v>
      </c>
      <c r="E105" s="21">
        <f>C105+D105</f>
        <v/>
      </c>
    </row>
    <row r="106">
      <c r="B106" s="5" t="inlineStr">
        <is>
          <t>有形固定資産（PP&amp;E）</t>
        </is>
      </c>
      <c r="C106" s="11" t="n">
        <v>9000</v>
      </c>
      <c r="E106" s="21">
        <f>C106+D106</f>
        <v/>
      </c>
    </row>
    <row r="107">
      <c r="B107" s="5" t="inlineStr">
        <is>
          <t>のれん（EV−取得純運転・固定資産）</t>
        </is>
      </c>
      <c r="C107" s="13" t="n"/>
      <c r="D107" s="21">
        <f>C92-(C104+C105+C106-C109)</f>
        <v/>
      </c>
      <c r="E107" s="21">
        <f>C107+D107</f>
        <v/>
      </c>
    </row>
    <row r="108">
      <c r="B108" s="17" t="inlineStr">
        <is>
          <t>クロージング時 総資産</t>
        </is>
      </c>
      <c r="C108" s="25">
        <f>SUM(C103:C107)</f>
        <v/>
      </c>
      <c r="D108" s="26">
        <f>SUM(D103:D107)</f>
        <v/>
      </c>
      <c r="E108" s="26">
        <f>SUM(E103:E107)</f>
        <v/>
      </c>
    </row>
    <row r="109">
      <c r="B109" s="5" t="inlineStr">
        <is>
          <t>買掛金</t>
        </is>
      </c>
      <c r="C109" s="11" t="n">
        <v>2400</v>
      </c>
      <c r="E109" s="21">
        <f>C109+D109</f>
        <v/>
      </c>
    </row>
    <row r="110">
      <c r="B110" s="5" t="inlineStr">
        <is>
          <t>シニアローン</t>
        </is>
      </c>
      <c r="C110" s="13" t="n"/>
      <c r="D110" s="21">
        <f>C96</f>
        <v/>
      </c>
      <c r="E110" s="21">
        <f>C110+D110</f>
        <v/>
      </c>
    </row>
    <row r="111">
      <c r="B111" s="5" t="inlineStr">
        <is>
          <t>売主持分（旧純資産・取引で消滅）</t>
        </is>
      </c>
      <c r="C111" s="23">
        <f>C108-C109</f>
        <v/>
      </c>
      <c r="D111" s="21">
        <f>-C111</f>
        <v/>
      </c>
      <c r="E111" s="21">
        <f>C111+D111</f>
        <v/>
      </c>
    </row>
    <row r="112">
      <c r="B112" s="5" t="inlineStr">
        <is>
          <t>資本金（スポンサー出資）</t>
        </is>
      </c>
      <c r="C112" s="13" t="n"/>
      <c r="D112" s="21">
        <f>C97</f>
        <v/>
      </c>
      <c r="E112" s="21">
        <f>C112+D112</f>
        <v/>
      </c>
    </row>
    <row r="113">
      <c r="B113" s="5" t="inlineStr">
        <is>
          <t>利益剰余金（取引費用の費用処理）</t>
        </is>
      </c>
      <c r="C113" s="13" t="n"/>
      <c r="D113" s="21">
        <f>-C93</f>
        <v/>
      </c>
      <c r="E113" s="21">
        <f>C113+D113</f>
        <v/>
      </c>
    </row>
    <row r="114">
      <c r="B114" s="17" t="inlineStr">
        <is>
          <t>クロージング時 負債・純資産計</t>
        </is>
      </c>
      <c r="C114" s="25">
        <f>SUM(C109:C113)</f>
        <v/>
      </c>
      <c r="D114" s="26">
        <f>SUM(D109:D113)</f>
        <v/>
      </c>
      <c r="E114" s="26">
        <f>SUM(E109:E113)</f>
        <v/>
      </c>
    </row>
    <row r="115">
      <c r="B115" s="5" t="inlineStr">
        <is>
          <t>クロージングBS 差額（総資産−負債純資産）</t>
        </is>
      </c>
      <c r="C115" s="23">
        <f>C108-C114</f>
        <v/>
      </c>
      <c r="D115" s="21">
        <f>D108-D114</f>
        <v/>
      </c>
      <c r="E115" s="21">
        <f>E108-E114</f>
        <v/>
      </c>
    </row>
    <row r="117">
      <c r="A117" s="3" t="inlineStr">
        <is>
          <t>（６）有形固定資産</t>
        </is>
      </c>
      <c r="B117" s="3" t="inlineStr">
        <is>
          <t>有形固定資産（PP&amp;E）スケジュール</t>
        </is>
      </c>
      <c r="C117" s="4" t="inlineStr">
        <is>
          <t>2025A</t>
        </is>
      </c>
      <c r="D117" s="4" t="inlineStr">
        <is>
          <t>2026E</t>
        </is>
      </c>
      <c r="E117" s="4" t="inlineStr">
        <is>
          <t>2027E</t>
        </is>
      </c>
      <c r="F117" s="4" t="inlineStr">
        <is>
          <t>2028E</t>
        </is>
      </c>
      <c r="G117" s="4" t="inlineStr">
        <is>
          <t>2029E</t>
        </is>
      </c>
      <c r="H117" s="4" t="inlineStr">
        <is>
          <t>2030E</t>
        </is>
      </c>
    </row>
    <row r="118">
      <c r="B118" s="5" t="inlineStr">
        <is>
          <t>期首有形固定資産</t>
        </is>
      </c>
      <c r="C118" s="13" t="n"/>
      <c r="D118" s="21">
        <f>C121</f>
        <v/>
      </c>
      <c r="E118" s="21">
        <f>D121</f>
        <v/>
      </c>
      <c r="F118" s="21">
        <f>E121</f>
        <v/>
      </c>
      <c r="G118" s="21">
        <f>F121</f>
        <v/>
      </c>
      <c r="H118" s="21">
        <f>G121</f>
        <v/>
      </c>
    </row>
    <row r="119">
      <c r="B119" s="5" t="inlineStr">
        <is>
          <t>設備投資（Capex・マイナス格納→期末は減算）</t>
        </is>
      </c>
      <c r="C119" s="13" t="n"/>
      <c r="D119" s="21">
        <f>D24</f>
        <v/>
      </c>
      <c r="E119" s="21">
        <f>E24</f>
        <v/>
      </c>
      <c r="F119" s="21">
        <f>F24</f>
        <v/>
      </c>
      <c r="G119" s="21">
        <f>G24</f>
        <v/>
      </c>
      <c r="H119" s="21">
        <f>H24</f>
        <v/>
      </c>
    </row>
    <row r="120">
      <c r="B120" s="5" t="inlineStr">
        <is>
          <t>減価償却費</t>
        </is>
      </c>
      <c r="C120" s="13" t="n"/>
      <c r="D120" s="21">
        <f>-D118*D25</f>
        <v/>
      </c>
      <c r="E120" s="21">
        <f>-E118*E25</f>
        <v/>
      </c>
      <c r="F120" s="21">
        <f>-F118*F25</f>
        <v/>
      </c>
      <c r="G120" s="21">
        <f>-G118*G25</f>
        <v/>
      </c>
      <c r="H120" s="21">
        <f>-H118*H25</f>
        <v/>
      </c>
    </row>
    <row r="121">
      <c r="B121" s="5" t="inlineStr">
        <is>
          <t>期末有形固定資産</t>
        </is>
      </c>
      <c r="C121" s="20">
        <f>E106</f>
        <v/>
      </c>
      <c r="D121" s="24">
        <f>D118-D119+D120</f>
        <v/>
      </c>
      <c r="E121" s="24">
        <f>E118-E119+E120</f>
        <v/>
      </c>
      <c r="F121" s="24">
        <f>F118-F119+F120</f>
        <v/>
      </c>
      <c r="G121" s="24">
        <f>G118-G119+G120</f>
        <v/>
      </c>
      <c r="H121" s="24">
        <f>H118-H119+H120</f>
        <v/>
      </c>
    </row>
    <row r="123">
      <c r="A123" s="3" t="inlineStr">
        <is>
          <t>（７）運転資本</t>
        </is>
      </c>
      <c r="B123" s="3" t="inlineStr">
        <is>
          <t>運転資本（Working Capital）スケジュール</t>
        </is>
      </c>
      <c r="C123" s="4" t="inlineStr">
        <is>
          <t>2025A</t>
        </is>
      </c>
      <c r="D123" s="4" t="inlineStr">
        <is>
          <t>2026E</t>
        </is>
      </c>
      <c r="E123" s="4" t="inlineStr">
        <is>
          <t>2027E</t>
        </is>
      </c>
      <c r="F123" s="4" t="inlineStr">
        <is>
          <t>2028E</t>
        </is>
      </c>
      <c r="G123" s="4" t="inlineStr">
        <is>
          <t>2029E</t>
        </is>
      </c>
      <c r="H123" s="4" t="inlineStr">
        <is>
          <t>2030E</t>
        </is>
      </c>
    </row>
    <row r="124">
      <c r="B124" s="5" t="inlineStr">
        <is>
          <t>売掛金（売上/365×日数）</t>
        </is>
      </c>
      <c r="C124" s="23">
        <f>E104</f>
        <v/>
      </c>
      <c r="D124" s="21">
        <f>(D73/365)*D21</f>
        <v/>
      </c>
      <c r="E124" s="21">
        <f>(E73/365)*E21</f>
        <v/>
      </c>
      <c r="F124" s="21">
        <f>(F73/365)*F21</f>
        <v/>
      </c>
      <c r="G124" s="21">
        <f>(G73/365)*G21</f>
        <v/>
      </c>
      <c r="H124" s="21">
        <f>(H73/365)*H21</f>
        <v/>
      </c>
    </row>
    <row r="125">
      <c r="B125" s="5" t="inlineStr">
        <is>
          <t>棚卸資産（原価/365×日数）</t>
        </is>
      </c>
      <c r="C125" s="23">
        <f>E105</f>
        <v/>
      </c>
      <c r="D125" s="21">
        <f>(-D74/365)*D22</f>
        <v/>
      </c>
      <c r="E125" s="21">
        <f>(-E74/365)*E22</f>
        <v/>
      </c>
      <c r="F125" s="21">
        <f>(-F74/365)*F22</f>
        <v/>
      </c>
      <c r="G125" s="21">
        <f>(-G74/365)*G22</f>
        <v/>
      </c>
      <c r="H125" s="21">
        <f>(-H74/365)*H22</f>
        <v/>
      </c>
    </row>
    <row r="126">
      <c r="B126" s="5" t="inlineStr">
        <is>
          <t>買掛金（原価/365×日数）</t>
        </is>
      </c>
      <c r="C126" s="23">
        <f>E109</f>
        <v/>
      </c>
      <c r="D126" s="21">
        <f>(-D74/365)*D23</f>
        <v/>
      </c>
      <c r="E126" s="21">
        <f>(-E74/365)*E23</f>
        <v/>
      </c>
      <c r="F126" s="21">
        <f>(-F74/365)*F23</f>
        <v/>
      </c>
      <c r="G126" s="21">
        <f>(-G74/365)*G23</f>
        <v/>
      </c>
      <c r="H126" s="21">
        <f>(-H74/365)*H23</f>
        <v/>
      </c>
    </row>
    <row r="127">
      <c r="B127" s="5" t="inlineStr">
        <is>
          <t>正味運転資本（OWC）</t>
        </is>
      </c>
      <c r="C127" s="20">
        <f>C124+C125-C126</f>
        <v/>
      </c>
      <c r="D127" s="24">
        <f>D124+D125-D126</f>
        <v/>
      </c>
      <c r="E127" s="24">
        <f>E124+E125-E126</f>
        <v/>
      </c>
      <c r="F127" s="24">
        <f>F124+F125-F126</f>
        <v/>
      </c>
      <c r="G127" s="24">
        <f>G124+G125-G126</f>
        <v/>
      </c>
      <c r="H127" s="24">
        <f>H124+H125-H126</f>
        <v/>
      </c>
    </row>
    <row r="129">
      <c r="A129" s="3" t="inlineStr">
        <is>
          <t>（８）借入金</t>
        </is>
      </c>
      <c r="B129" s="3" t="inlineStr">
        <is>
          <t>シニアローン（約定返済＋キャッシュスイープ）</t>
        </is>
      </c>
      <c r="C129" s="4" t="inlineStr">
        <is>
          <t>2025A</t>
        </is>
      </c>
      <c r="D129" s="4" t="inlineStr">
        <is>
          <t>2026E</t>
        </is>
      </c>
      <c r="E129" s="4" t="inlineStr">
        <is>
          <t>2027E</t>
        </is>
      </c>
      <c r="F129" s="4" t="inlineStr">
        <is>
          <t>2028E</t>
        </is>
      </c>
      <c r="G129" s="4" t="inlineStr">
        <is>
          <t>2029E</t>
        </is>
      </c>
      <c r="H129" s="4" t="inlineStr">
        <is>
          <t>2030E</t>
        </is>
      </c>
    </row>
    <row r="130">
      <c r="B130" s="5" t="inlineStr">
        <is>
          <t>期首借入金残高</t>
        </is>
      </c>
      <c r="C130" s="13" t="n"/>
      <c r="D130" s="21">
        <f>C135</f>
        <v/>
      </c>
      <c r="E130" s="21">
        <f>D135</f>
        <v/>
      </c>
      <c r="F130" s="21">
        <f>E135</f>
        <v/>
      </c>
      <c r="G130" s="21">
        <f>F135</f>
        <v/>
      </c>
      <c r="H130" s="21">
        <f>G135</f>
        <v/>
      </c>
    </row>
    <row r="131">
      <c r="B131" s="5" t="inlineStr">
        <is>
          <t>約定返済額</t>
        </is>
      </c>
      <c r="C131" s="13" t="n"/>
      <c r="D131" s="21">
        <f>-MIN(D130,$C$135*$C$14)</f>
        <v/>
      </c>
      <c r="E131" s="21">
        <f>-MIN(E130,$C$135*$C$14)</f>
        <v/>
      </c>
      <c r="F131" s="21">
        <f>-MIN(F130,$C$135*$C$14)</f>
        <v/>
      </c>
      <c r="G131" s="21">
        <f>-MIN(G130,$C$135*$C$14)</f>
        <v/>
      </c>
      <c r="H131" s="21">
        <f>-MIN(H130,$C$135*$C$14)</f>
        <v/>
      </c>
    </row>
    <row r="132">
      <c r="B132" s="5" t="inlineStr">
        <is>
          <t>スイープ前現預金（前期末＋CFO＋CFI＋約定返済）</t>
        </is>
      </c>
      <c r="C132" s="13" t="n"/>
      <c r="D132" s="21">
        <f>C171+D164+D166+D131</f>
        <v/>
      </c>
      <c r="E132" s="21">
        <f>D171+E164+E166+E131</f>
        <v/>
      </c>
      <c r="F132" s="21">
        <f>E171+F164+F166+F131</f>
        <v/>
      </c>
      <c r="G132" s="21">
        <f>F171+G164+G166+G131</f>
        <v/>
      </c>
      <c r="H132" s="21">
        <f>G171+H164+H166+H131</f>
        <v/>
      </c>
    </row>
    <row r="133">
      <c r="B133" s="5" t="inlineStr">
        <is>
          <t>スイープ可能額（最低現預金超過分）</t>
        </is>
      </c>
      <c r="C133" s="13" t="n"/>
      <c r="D133" s="21">
        <f>MAX(0,D132-$C$12)</f>
        <v/>
      </c>
      <c r="E133" s="21">
        <f>MAX(0,E132-$C$12)</f>
        <v/>
      </c>
      <c r="F133" s="21">
        <f>MAX(0,F132-$C$12)</f>
        <v/>
      </c>
      <c r="G133" s="21">
        <f>MAX(0,G132-$C$12)</f>
        <v/>
      </c>
      <c r="H133" s="21">
        <f>MAX(0,H132-$C$12)</f>
        <v/>
      </c>
    </row>
    <row r="134">
      <c r="B134" s="5" t="inlineStr">
        <is>
          <t>キャッシュスイープ返済額</t>
        </is>
      </c>
      <c r="C134" s="13" t="n"/>
      <c r="D134" s="21">
        <f>-MIN(D130+D131,D133*$C$15)</f>
        <v/>
      </c>
      <c r="E134" s="21">
        <f>-MIN(E130+E131,E133*$C$15)</f>
        <v/>
      </c>
      <c r="F134" s="21">
        <f>-MIN(F130+F131,F133*$C$15)</f>
        <v/>
      </c>
      <c r="G134" s="21">
        <f>-MIN(G130+G131,G133*$C$15)</f>
        <v/>
      </c>
      <c r="H134" s="21">
        <f>-MIN(H130+H131,H133*$C$15)</f>
        <v/>
      </c>
    </row>
    <row r="135">
      <c r="B135" s="5" t="inlineStr">
        <is>
          <t>期末借入金残高</t>
        </is>
      </c>
      <c r="C135" s="20">
        <f>E110</f>
        <v/>
      </c>
      <c r="D135" s="24">
        <f>D130+D131+D134</f>
        <v/>
      </c>
      <c r="E135" s="24">
        <f>E130+E131+E134</f>
        <v/>
      </c>
      <c r="F135" s="24">
        <f>F130+F131+F134</f>
        <v/>
      </c>
      <c r="G135" s="24">
        <f>G130+G131+G134</f>
        <v/>
      </c>
      <c r="H135" s="24">
        <f>H130+H131+H134</f>
        <v/>
      </c>
    </row>
    <row r="136">
      <c r="B136" s="5" t="inlineStr">
        <is>
          <t>支払利息（期首残高×金利: 循環回避）</t>
        </is>
      </c>
      <c r="C136" s="13" t="n"/>
      <c r="D136" s="21">
        <f>D130*$C$10</f>
        <v/>
      </c>
      <c r="E136" s="21">
        <f>E130*$C$10</f>
        <v/>
      </c>
      <c r="F136" s="21">
        <f>F130*$C$10</f>
        <v/>
      </c>
      <c r="G136" s="21">
        <f>G130*$C$10</f>
        <v/>
      </c>
      <c r="H136" s="21">
        <f>H130*$C$10</f>
        <v/>
      </c>
    </row>
    <row r="137">
      <c r="B137" s="5" t="inlineStr">
        <is>
          <t>純有利子負債/調整後EBITDA</t>
        </is>
      </c>
      <c r="C137" s="19">
        <f>(C135-C146)/C80</f>
        <v/>
      </c>
      <c r="D137" s="28">
        <f>(D135-D146)/D80</f>
        <v/>
      </c>
      <c r="E137" s="28">
        <f>(E135-E146)/E80</f>
        <v/>
      </c>
      <c r="F137" s="28">
        <f>(F135-F146)/F80</f>
        <v/>
      </c>
      <c r="G137" s="28">
        <f>(G135-G146)/G80</f>
        <v/>
      </c>
      <c r="H137" s="28">
        <f>(H135-H146)/H80</f>
        <v/>
      </c>
    </row>
    <row r="138">
      <c r="B138" s="5" t="inlineStr">
        <is>
          <t>インタレストカバレッジ（EBITDA/支払利息）</t>
        </is>
      </c>
      <c r="C138" s="13" t="n"/>
      <c r="D138" s="28">
        <f>D80/D136</f>
        <v/>
      </c>
      <c r="E138" s="28">
        <f>E80/E136</f>
        <v/>
      </c>
      <c r="F138" s="28">
        <f>F80/F136</f>
        <v/>
      </c>
      <c r="G138" s="28">
        <f>G80/G136</f>
        <v/>
      </c>
      <c r="H138" s="28">
        <f>H80/H136</f>
        <v/>
      </c>
    </row>
    <row r="140">
      <c r="A140" s="3" t="inlineStr">
        <is>
          <t>（９）利益剰余金</t>
        </is>
      </c>
      <c r="B140" s="3" t="inlineStr">
        <is>
          <t>利益剰余金スケジュール（無配）</t>
        </is>
      </c>
      <c r="C140" s="4" t="inlineStr">
        <is>
          <t>2025A</t>
        </is>
      </c>
      <c r="D140" s="4" t="inlineStr">
        <is>
          <t>2026E</t>
        </is>
      </c>
      <c r="E140" s="4" t="inlineStr">
        <is>
          <t>2027E</t>
        </is>
      </c>
      <c r="F140" s="4" t="inlineStr">
        <is>
          <t>2028E</t>
        </is>
      </c>
      <c r="G140" s="4" t="inlineStr">
        <is>
          <t>2029E</t>
        </is>
      </c>
      <c r="H140" s="4" t="inlineStr">
        <is>
          <t>2030E</t>
        </is>
      </c>
    </row>
    <row r="141">
      <c r="B141" s="5" t="inlineStr">
        <is>
          <t>期首利益剰余金</t>
        </is>
      </c>
      <c r="C141" s="13" t="n"/>
      <c r="D141" s="21">
        <f>C143</f>
        <v/>
      </c>
      <c r="E141" s="21">
        <f>D143</f>
        <v/>
      </c>
      <c r="F141" s="21">
        <f>E143</f>
        <v/>
      </c>
      <c r="G141" s="21">
        <f>F143</f>
        <v/>
      </c>
      <c r="H141" s="21">
        <f>G143</f>
        <v/>
      </c>
    </row>
    <row r="142">
      <c r="B142" s="5" t="inlineStr">
        <is>
          <t>当期純利益</t>
        </is>
      </c>
      <c r="C142" s="13" t="n"/>
      <c r="D142" s="21">
        <f>D89</f>
        <v/>
      </c>
      <c r="E142" s="21">
        <f>E89</f>
        <v/>
      </c>
      <c r="F142" s="21">
        <f>F89</f>
        <v/>
      </c>
      <c r="G142" s="21">
        <f>G89</f>
        <v/>
      </c>
      <c r="H142" s="21">
        <f>H89</f>
        <v/>
      </c>
    </row>
    <row r="143">
      <c r="B143" s="5" t="inlineStr">
        <is>
          <t>期末利益剰余金</t>
        </is>
      </c>
      <c r="C143" s="20">
        <f>E113</f>
        <v/>
      </c>
      <c r="D143" s="24">
        <f>D141+D142</f>
        <v/>
      </c>
      <c r="E143" s="24">
        <f>E141+E142</f>
        <v/>
      </c>
      <c r="F143" s="24">
        <f>F141+F142</f>
        <v/>
      </c>
      <c r="G143" s="24">
        <f>G141+G142</f>
        <v/>
      </c>
      <c r="H143" s="24">
        <f>H141+H142</f>
        <v/>
      </c>
    </row>
    <row r="145">
      <c r="A145" s="3" t="inlineStr">
        <is>
          <t>（１０）貸借対照表</t>
        </is>
      </c>
      <c r="B145" s="3" t="inlineStr">
        <is>
          <t>プロフォルマ貸借対照表（BS）</t>
        </is>
      </c>
      <c r="C145" s="4" t="inlineStr">
        <is>
          <t>2025A</t>
        </is>
      </c>
      <c r="D145" s="4" t="inlineStr">
        <is>
          <t>2026E</t>
        </is>
      </c>
      <c r="E145" s="4" t="inlineStr">
        <is>
          <t>2027E</t>
        </is>
      </c>
      <c r="F145" s="4" t="inlineStr">
        <is>
          <t>2028E</t>
        </is>
      </c>
      <c r="G145" s="4" t="inlineStr">
        <is>
          <t>2029E</t>
        </is>
      </c>
      <c r="H145" s="4" t="inlineStr">
        <is>
          <t>2030E</t>
        </is>
      </c>
    </row>
    <row r="146">
      <c r="B146" s="5" t="inlineStr">
        <is>
          <t>現預金</t>
        </is>
      </c>
      <c r="C146" s="23">
        <f>C171</f>
        <v/>
      </c>
      <c r="D146" s="21">
        <f>D171</f>
        <v/>
      </c>
      <c r="E146" s="21">
        <f>E171</f>
        <v/>
      </c>
      <c r="F146" s="21">
        <f>F171</f>
        <v/>
      </c>
      <c r="G146" s="21">
        <f>G171</f>
        <v/>
      </c>
      <c r="H146" s="21">
        <f>H171</f>
        <v/>
      </c>
    </row>
    <row r="147">
      <c r="B147" s="5" t="inlineStr">
        <is>
          <t>売掛金</t>
        </is>
      </c>
      <c r="C147" s="23">
        <f>C124</f>
        <v/>
      </c>
      <c r="D147" s="21">
        <f>D124</f>
        <v/>
      </c>
      <c r="E147" s="21">
        <f>E124</f>
        <v/>
      </c>
      <c r="F147" s="21">
        <f>F124</f>
        <v/>
      </c>
      <c r="G147" s="21">
        <f>G124</f>
        <v/>
      </c>
      <c r="H147" s="21">
        <f>H124</f>
        <v/>
      </c>
    </row>
    <row r="148">
      <c r="B148" s="5" t="inlineStr">
        <is>
          <t>棚卸資産</t>
        </is>
      </c>
      <c r="C148" s="23">
        <f>C125</f>
        <v/>
      </c>
      <c r="D148" s="21">
        <f>D125</f>
        <v/>
      </c>
      <c r="E148" s="21">
        <f>E125</f>
        <v/>
      </c>
      <c r="F148" s="21">
        <f>F125</f>
        <v/>
      </c>
      <c r="G148" s="21">
        <f>G125</f>
        <v/>
      </c>
      <c r="H148" s="21">
        <f>H125</f>
        <v/>
      </c>
    </row>
    <row r="149">
      <c r="B149" s="5" t="inlineStr">
        <is>
          <t>有形固定資産（PP&amp;E）</t>
        </is>
      </c>
      <c r="C149" s="23">
        <f>C121</f>
        <v/>
      </c>
      <c r="D149" s="21">
        <f>D121</f>
        <v/>
      </c>
      <c r="E149" s="21">
        <f>E121</f>
        <v/>
      </c>
      <c r="F149" s="21">
        <f>F121</f>
        <v/>
      </c>
      <c r="G149" s="21">
        <f>G121</f>
        <v/>
      </c>
      <c r="H149" s="21">
        <f>H121</f>
        <v/>
      </c>
    </row>
    <row r="150">
      <c r="B150" s="5" t="inlineStr">
        <is>
          <t>のれん</t>
        </is>
      </c>
      <c r="C150" s="23">
        <f>E107</f>
        <v/>
      </c>
      <c r="D150" s="21">
        <f>C150</f>
        <v/>
      </c>
      <c r="E150" s="21">
        <f>D150</f>
        <v/>
      </c>
      <c r="F150" s="21">
        <f>E150</f>
        <v/>
      </c>
      <c r="G150" s="21">
        <f>F150</f>
        <v/>
      </c>
      <c r="H150" s="21">
        <f>G150</f>
        <v/>
      </c>
    </row>
    <row r="151">
      <c r="B151" s="17" t="inlineStr">
        <is>
          <t>資産合計</t>
        </is>
      </c>
      <c r="C151" s="25">
        <f>SUM(C146:C150)</f>
        <v/>
      </c>
      <c r="D151" s="26">
        <f>SUM(D146:D150)</f>
        <v/>
      </c>
      <c r="E151" s="26">
        <f>SUM(E146:E150)</f>
        <v/>
      </c>
      <c r="F151" s="26">
        <f>SUM(F146:F150)</f>
        <v/>
      </c>
      <c r="G151" s="26">
        <f>SUM(G146:G150)</f>
        <v/>
      </c>
      <c r="H151" s="26">
        <f>SUM(H146:H150)</f>
        <v/>
      </c>
    </row>
    <row r="152">
      <c r="B152" s="5" t="inlineStr">
        <is>
          <t>買掛金</t>
        </is>
      </c>
      <c r="C152" s="23">
        <f>C126</f>
        <v/>
      </c>
      <c r="D152" s="21">
        <f>D126</f>
        <v/>
      </c>
      <c r="E152" s="21">
        <f>E126</f>
        <v/>
      </c>
      <c r="F152" s="21">
        <f>F126</f>
        <v/>
      </c>
      <c r="G152" s="21">
        <f>G126</f>
        <v/>
      </c>
      <c r="H152" s="21">
        <f>H126</f>
        <v/>
      </c>
    </row>
    <row r="153">
      <c r="B153" s="5" t="inlineStr">
        <is>
          <t>借入金（シニアローン）</t>
        </is>
      </c>
      <c r="C153" s="23">
        <f>C135</f>
        <v/>
      </c>
      <c r="D153" s="21">
        <f>D135</f>
        <v/>
      </c>
      <c r="E153" s="21">
        <f>E135</f>
        <v/>
      </c>
      <c r="F153" s="21">
        <f>F135</f>
        <v/>
      </c>
      <c r="G153" s="21">
        <f>G135</f>
        <v/>
      </c>
      <c r="H153" s="21">
        <f>H135</f>
        <v/>
      </c>
    </row>
    <row r="154">
      <c r="B154" s="5" t="inlineStr">
        <is>
          <t>資本金（スポンサー出資）</t>
        </is>
      </c>
      <c r="C154" s="23">
        <f>E112</f>
        <v/>
      </c>
      <c r="D154" s="21">
        <f>C154</f>
        <v/>
      </c>
      <c r="E154" s="21">
        <f>D154</f>
        <v/>
      </c>
      <c r="F154" s="21">
        <f>E154</f>
        <v/>
      </c>
      <c r="G154" s="21">
        <f>F154</f>
        <v/>
      </c>
      <c r="H154" s="21">
        <f>G154</f>
        <v/>
      </c>
    </row>
    <row r="155">
      <c r="B155" s="5" t="inlineStr">
        <is>
          <t>利益剰余金</t>
        </is>
      </c>
      <c r="C155" s="23">
        <f>C143</f>
        <v/>
      </c>
      <c r="D155" s="21">
        <f>D143</f>
        <v/>
      </c>
      <c r="E155" s="21">
        <f>E143</f>
        <v/>
      </c>
      <c r="F155" s="21">
        <f>F143</f>
        <v/>
      </c>
      <c r="G155" s="21">
        <f>G143</f>
        <v/>
      </c>
      <c r="H155" s="21">
        <f>H143</f>
        <v/>
      </c>
    </row>
    <row r="156">
      <c r="B156" s="17" t="inlineStr">
        <is>
          <t>負債・純資産合計</t>
        </is>
      </c>
      <c r="C156" s="25">
        <f>SUM(C152:C155)</f>
        <v/>
      </c>
      <c r="D156" s="26">
        <f>SUM(D152:D155)</f>
        <v/>
      </c>
      <c r="E156" s="26">
        <f>SUM(E152:E155)</f>
        <v/>
      </c>
      <c r="F156" s="26">
        <f>SUM(F152:F155)</f>
        <v/>
      </c>
      <c r="G156" s="26">
        <f>SUM(G152:G155)</f>
        <v/>
      </c>
      <c r="H156" s="26">
        <f>SUM(H152:H155)</f>
        <v/>
      </c>
    </row>
    <row r="157">
      <c r="B157" s="5" t="inlineStr">
        <is>
          <t>バランスチェック（差額＝0検証）</t>
        </is>
      </c>
      <c r="C157" s="29">
        <f>C151-C156</f>
        <v/>
      </c>
      <c r="D157" s="22">
        <f>D151-D156</f>
        <v/>
      </c>
      <c r="E157" s="22">
        <f>E151-E156</f>
        <v/>
      </c>
      <c r="F157" s="22">
        <f>F151-F156</f>
        <v/>
      </c>
      <c r="G157" s="22">
        <f>G151-G156</f>
        <v/>
      </c>
      <c r="H157" s="22">
        <f>H151-H156</f>
        <v/>
      </c>
    </row>
    <row r="158">
      <c r="B158" s="5" t="inlineStr">
        <is>
          <t>判定</t>
        </is>
      </c>
      <c r="C158" s="7">
        <f>IF(ABS(C157)&lt;$C$17,"OK","ERROR - CHECK BS")</f>
        <v/>
      </c>
      <c r="D158" s="30">
        <f>IF(ABS(D157)&lt;$C$17,"OK","ERROR - CHECK BS")</f>
        <v/>
      </c>
      <c r="E158" s="30">
        <f>IF(ABS(E157)&lt;$C$17,"OK","ERROR - CHECK BS")</f>
        <v/>
      </c>
      <c r="F158" s="30">
        <f>IF(ABS(F157)&lt;$C$17,"OK","ERROR - CHECK BS")</f>
        <v/>
      </c>
      <c r="G158" s="30">
        <f>IF(ABS(G157)&lt;$C$17,"OK","ERROR - CHECK BS")</f>
        <v/>
      </c>
      <c r="H158" s="30">
        <f>IF(ABS(H157)&lt;$C$17,"OK","ERROR - CHECK BS")</f>
        <v/>
      </c>
    </row>
    <row r="160">
      <c r="A160" s="3" t="inlineStr">
        <is>
          <t>（１１）キャッシュフロー</t>
        </is>
      </c>
      <c r="B160" s="3" t="inlineStr">
        <is>
          <t>キャッシュフロー計算書（間接法CF）</t>
        </is>
      </c>
      <c r="C160" s="4" t="inlineStr">
        <is>
          <t>2025A</t>
        </is>
      </c>
      <c r="D160" s="4" t="inlineStr">
        <is>
          <t>2026E</t>
        </is>
      </c>
      <c r="E160" s="4" t="inlineStr">
        <is>
          <t>2027E</t>
        </is>
      </c>
      <c r="F160" s="4" t="inlineStr">
        <is>
          <t>2028E</t>
        </is>
      </c>
      <c r="G160" s="4" t="inlineStr">
        <is>
          <t>2029E</t>
        </is>
      </c>
      <c r="H160" s="4" t="inlineStr">
        <is>
          <t>2030E</t>
        </is>
      </c>
    </row>
    <row r="161">
      <c r="B161" s="5" t="inlineStr">
        <is>
          <t>税引後当期純利益</t>
        </is>
      </c>
      <c r="C161" s="13" t="n"/>
      <c r="D161" s="21">
        <f>D89</f>
        <v/>
      </c>
      <c r="E161" s="21">
        <f>E89</f>
        <v/>
      </c>
      <c r="F161" s="21">
        <f>F89</f>
        <v/>
      </c>
      <c r="G161" s="21">
        <f>G89</f>
        <v/>
      </c>
      <c r="H161" s="21">
        <f>H89</f>
        <v/>
      </c>
    </row>
    <row r="162">
      <c r="B162" s="5" t="inlineStr">
        <is>
          <t>減価償却費（足し戻し）</t>
        </is>
      </c>
      <c r="C162" s="13" t="n"/>
      <c r="D162" s="21">
        <f>-D120</f>
        <v/>
      </c>
      <c r="E162" s="21">
        <f>-E120</f>
        <v/>
      </c>
      <c r="F162" s="21">
        <f>-F120</f>
        <v/>
      </c>
      <c r="G162" s="21">
        <f>-G120</f>
        <v/>
      </c>
      <c r="H162" s="21">
        <f>-H120</f>
        <v/>
      </c>
    </row>
    <row r="163">
      <c r="B163" s="5" t="inlineStr">
        <is>
          <t>Δ運転資本（前期−当期）</t>
        </is>
      </c>
      <c r="C163" s="13" t="n"/>
      <c r="D163" s="21">
        <f>C127-D127</f>
        <v/>
      </c>
      <c r="E163" s="21">
        <f>D127-E127</f>
        <v/>
      </c>
      <c r="F163" s="21">
        <f>E127-F127</f>
        <v/>
      </c>
      <c r="G163" s="21">
        <f>F127-G127</f>
        <v/>
      </c>
      <c r="H163" s="21">
        <f>G127-H127</f>
        <v/>
      </c>
    </row>
    <row r="164">
      <c r="B164" s="5" t="inlineStr">
        <is>
          <t>営業活動によるキャッシュフロー</t>
        </is>
      </c>
      <c r="C164" s="13" t="n"/>
      <c r="D164" s="24">
        <f>SUM(D161:D163)</f>
        <v/>
      </c>
      <c r="E164" s="24">
        <f>SUM(E161:E163)</f>
        <v/>
      </c>
      <c r="F164" s="24">
        <f>SUM(F161:F163)</f>
        <v/>
      </c>
      <c r="G164" s="24">
        <f>SUM(G161:G163)</f>
        <v/>
      </c>
      <c r="H164" s="24">
        <f>SUM(H161:H163)</f>
        <v/>
      </c>
    </row>
    <row r="165">
      <c r="B165" s="5" t="inlineStr">
        <is>
          <t>設備投資額（Capex）</t>
        </is>
      </c>
      <c r="C165" s="13" t="n"/>
      <c r="D165" s="21">
        <f>D119</f>
        <v/>
      </c>
      <c r="E165" s="21">
        <f>E119</f>
        <v/>
      </c>
      <c r="F165" s="21">
        <f>F119</f>
        <v/>
      </c>
      <c r="G165" s="21">
        <f>G119</f>
        <v/>
      </c>
      <c r="H165" s="21">
        <f>H119</f>
        <v/>
      </c>
    </row>
    <row r="166">
      <c r="B166" s="5" t="inlineStr">
        <is>
          <t>投資活動によるキャッシュフロー</t>
        </is>
      </c>
      <c r="C166" s="13" t="n"/>
      <c r="D166" s="24">
        <f>D165</f>
        <v/>
      </c>
      <c r="E166" s="24">
        <f>E165</f>
        <v/>
      </c>
      <c r="F166" s="24">
        <f>F165</f>
        <v/>
      </c>
      <c r="G166" s="24">
        <f>G165</f>
        <v/>
      </c>
      <c r="H166" s="24">
        <f>H165</f>
        <v/>
      </c>
    </row>
    <row r="167">
      <c r="B167" s="5" t="inlineStr">
        <is>
          <t>約定返済額</t>
        </is>
      </c>
      <c r="C167" s="13" t="n"/>
      <c r="D167" s="21">
        <f>D131</f>
        <v/>
      </c>
      <c r="E167" s="21">
        <f>E131</f>
        <v/>
      </c>
      <c r="F167" s="21">
        <f>F131</f>
        <v/>
      </c>
      <c r="G167" s="21">
        <f>G131</f>
        <v/>
      </c>
      <c r="H167" s="21">
        <f>H131</f>
        <v/>
      </c>
    </row>
    <row r="168">
      <c r="B168" s="5" t="inlineStr">
        <is>
          <t>キャッシュスイープ返済額</t>
        </is>
      </c>
      <c r="C168" s="13" t="n"/>
      <c r="D168" s="21">
        <f>D134</f>
        <v/>
      </c>
      <c r="E168" s="21">
        <f>E134</f>
        <v/>
      </c>
      <c r="F168" s="21">
        <f>F134</f>
        <v/>
      </c>
      <c r="G168" s="21">
        <f>G134</f>
        <v/>
      </c>
      <c r="H168" s="21">
        <f>H134</f>
        <v/>
      </c>
    </row>
    <row r="169">
      <c r="B169" s="5" t="inlineStr">
        <is>
          <t>財務活動によるキャッシュフロー</t>
        </is>
      </c>
      <c r="C169" s="13" t="n"/>
      <c r="D169" s="24">
        <f>SUM(D167:D168)</f>
        <v/>
      </c>
      <c r="E169" s="24">
        <f>SUM(E167:E168)</f>
        <v/>
      </c>
      <c r="F169" s="24">
        <f>SUM(F167:F168)</f>
        <v/>
      </c>
      <c r="G169" s="24">
        <f>SUM(G167:G168)</f>
        <v/>
      </c>
      <c r="H169" s="24">
        <f>SUM(H167:H168)</f>
        <v/>
      </c>
    </row>
    <row r="170">
      <c r="B170" s="17" t="inlineStr">
        <is>
          <t>当期純キャッシュ増減（Net Cash Flow）</t>
        </is>
      </c>
      <c r="C170" s="13" t="n"/>
      <c r="D170" s="26">
        <f>D164+D166+D169</f>
        <v/>
      </c>
      <c r="E170" s="26">
        <f>E164+E166+E169</f>
        <v/>
      </c>
      <c r="F170" s="26">
        <f>F164+F166+F169</f>
        <v/>
      </c>
      <c r="G170" s="26">
        <f>G164+G166+G169</f>
        <v/>
      </c>
      <c r="H170" s="26">
        <f>H164+H166+H169</f>
        <v/>
      </c>
    </row>
    <row r="171">
      <c r="B171" s="17" t="inlineStr">
        <is>
          <t>期末現預金残高</t>
        </is>
      </c>
      <c r="C171" s="25">
        <f>E103</f>
        <v/>
      </c>
      <c r="D171" s="26">
        <f>C171+D170</f>
        <v/>
      </c>
      <c r="E171" s="26">
        <f>D171+E170</f>
        <v/>
      </c>
      <c r="F171" s="26">
        <f>E171+F170</f>
        <v/>
      </c>
      <c r="G171" s="26">
        <f>F171+G170</f>
        <v/>
      </c>
      <c r="H171" s="26">
        <f>G171+H170</f>
        <v/>
      </c>
    </row>
    <row r="173">
      <c r="A173" s="3" t="inlineStr">
        <is>
          <t>（１２）Exit・投資リターン</t>
        </is>
      </c>
      <c r="B173" s="3" t="inlineStr">
        <is>
          <t>Exit 試算とスポンサーリターン</t>
        </is>
      </c>
      <c r="C173" s="4" t="inlineStr">
        <is>
          <t>金額</t>
        </is>
      </c>
    </row>
    <row r="174">
      <c r="B174" s="5" t="inlineStr">
        <is>
          <t>Exit年度 調整後EBITDA（2030E）</t>
        </is>
      </c>
      <c r="C174" s="23">
        <f>H80</f>
        <v/>
      </c>
    </row>
    <row r="175">
      <c r="B175" s="5" t="inlineStr">
        <is>
          <t>Exit倍率（選択シナリオ）</t>
        </is>
      </c>
      <c r="C175" s="19">
        <f>$C$53</f>
        <v/>
      </c>
    </row>
    <row r="176">
      <c r="B176" s="5" t="inlineStr">
        <is>
          <t>Exit時 事業価値（EV）</t>
        </is>
      </c>
      <c r="C176" s="20">
        <f>C174*C175</f>
        <v/>
      </c>
    </row>
    <row r="177">
      <c r="B177" s="5" t="inlineStr">
        <is>
          <t>Exit時 純有利子負債（借入金−現預金）</t>
        </is>
      </c>
      <c r="C177" s="23">
        <f>H153-H146</f>
        <v/>
      </c>
    </row>
    <row r="178">
      <c r="B178" s="17" t="inlineStr">
        <is>
          <t>Exit時 株式価値（スポンサー持分100%）</t>
        </is>
      </c>
      <c r="C178" s="25">
        <f>C176-C177</f>
        <v/>
      </c>
    </row>
    <row r="179">
      <c r="B179" s="5" t="inlineStr">
        <is>
          <t>投資時 スポンサー出資額</t>
        </is>
      </c>
      <c r="C179" s="23">
        <f>C97</f>
        <v/>
      </c>
    </row>
    <row r="180">
      <c r="B180" s="5" t="inlineStr">
        <is>
          <t>保有期間（年）</t>
        </is>
      </c>
      <c r="C180" s="31">
        <f>H5</f>
        <v/>
      </c>
    </row>
    <row r="181">
      <c r="B181" s="17" t="inlineStr">
        <is>
          <t>MoIC（投資倍率）</t>
        </is>
      </c>
      <c r="C181" s="32">
        <f>C178/C179</f>
        <v/>
      </c>
    </row>
    <row r="182">
      <c r="B182" s="17" t="inlineStr">
        <is>
          <t>IRR（MoICからの年率換算）</t>
        </is>
      </c>
      <c r="C182" s="27">
        <f>C181^(1/C180)-1</f>
        <v/>
      </c>
    </row>
    <row r="183">
      <c r="B183" s="5" t="inlineStr">
        <is>
          <t>スポンサー投資キャッシュフロー</t>
        </is>
      </c>
      <c r="C183" s="23">
        <f>-C179</f>
        <v/>
      </c>
      <c r="D183" s="21">
        <f>IF(D5=$C$180,$C$178,0)</f>
        <v/>
      </c>
      <c r="E183" s="21">
        <f>IF(E5=$C$180,$C$178,0)</f>
        <v/>
      </c>
      <c r="F183" s="21">
        <f>IF(F5=$C$180,$C$178,0)</f>
        <v/>
      </c>
      <c r="G183" s="21">
        <f>IF(G5=$C$180,$C$178,0)</f>
        <v/>
      </c>
      <c r="H183" s="21">
        <f>IF(H5=$C$180,$C$178,0)</f>
        <v/>
      </c>
    </row>
    <row r="184">
      <c r="B184" s="5" t="inlineStr">
        <is>
          <t>IRR（Excel IRR関数・検算）</t>
        </is>
      </c>
      <c r="C184" s="27">
        <f>IRR(C183:H183)</f>
        <v/>
      </c>
    </row>
    <row r="186">
      <c r="A186" s="3" t="inlineStr">
        <is>
          <t>（１３）バリューアップ・ブリッジ</t>
        </is>
      </c>
      <c r="B186" s="3" t="inlineStr">
        <is>
          <t>エクイティ価値創造の要因分解</t>
        </is>
      </c>
      <c r="C186" s="4" t="inlineStr">
        <is>
          <t>金額</t>
        </is>
      </c>
    </row>
    <row r="187">
      <c r="B187" s="5" t="inlineStr">
        <is>
          <t>EBITDA成長（Δ調整後EBITDA×買収倍率）</t>
        </is>
      </c>
      <c r="C187" s="23">
        <f>(C174-C80)*$C$8</f>
        <v/>
      </c>
    </row>
    <row r="188">
      <c r="B188" s="5" t="inlineStr">
        <is>
          <t>マルチプル拡大（ΔExit倍率×Exit EBITDA）</t>
        </is>
      </c>
      <c r="C188" s="23">
        <f>(C175-$C$8)*C174</f>
        <v/>
      </c>
    </row>
    <row r="189">
      <c r="B189" s="5" t="inlineStr">
        <is>
          <t>純有利子負債の削減（FCFによるデレバレッジ）</t>
        </is>
      </c>
      <c r="C189" s="23">
        <f>(C135-C146)-C177</f>
        <v/>
      </c>
    </row>
    <row r="190">
      <c r="B190" s="5" t="inlineStr">
        <is>
          <t>取引費用（投資時の費用）</t>
        </is>
      </c>
      <c r="C190" s="23">
        <f>-C93</f>
        <v/>
      </c>
    </row>
    <row r="191">
      <c r="B191" s="17" t="inlineStr">
        <is>
          <t>価値創造合計</t>
        </is>
      </c>
      <c r="C191" s="25">
        <f>SUM(C187:C190)</f>
        <v/>
      </c>
    </row>
    <row r="192">
      <c r="B192" s="5" t="inlineStr">
        <is>
          <t>Exit株式価値−投資額（実績差額）</t>
        </is>
      </c>
      <c r="C192" s="23">
        <f>C178-C179</f>
        <v/>
      </c>
    </row>
    <row r="193">
      <c r="B193" s="5" t="inlineStr">
        <is>
          <t>ブリッジ差額（0であること）</t>
        </is>
      </c>
      <c r="C193" s="29">
        <f>C191-C192</f>
        <v/>
      </c>
    </row>
    <row r="195">
      <c r="A195" s="3" t="inlineStr">
        <is>
          <t>（１４）感応度分析</t>
        </is>
      </c>
      <c r="B195" s="3" t="inlineStr">
        <is>
          <t>感応度マトリクス①：IRR（Exit倍率 × 買収倍率）</t>
        </is>
      </c>
      <c r="C195" s="4" t="inlineStr">
        <is>
          <t>2025A</t>
        </is>
      </c>
      <c r="D195" s="4" t="inlineStr">
        <is>
          <t>2026E</t>
        </is>
      </c>
      <c r="E195" s="4" t="inlineStr">
        <is>
          <t>2027E</t>
        </is>
      </c>
      <c r="F195" s="4" t="inlineStr">
        <is>
          <t>2028E</t>
        </is>
      </c>
      <c r="G195" s="4" t="inlineStr">
        <is>
          <t>2029E</t>
        </is>
      </c>
      <c r="H195" s="4" t="inlineStr">
        <is>
          <t>2030E</t>
        </is>
      </c>
    </row>
    <row r="196">
      <c r="B196" s="5" t="inlineStr">
        <is>
          <t>Exit倍率（行）＼買収倍率（列）</t>
        </is>
      </c>
      <c r="C196" s="33" t="inlineStr">
        <is>
          <t>Exit＼買収</t>
        </is>
      </c>
      <c r="D196" s="34" t="n">
        <v>6</v>
      </c>
      <c r="E196" s="34" t="n">
        <v>6.5</v>
      </c>
      <c r="F196" s="34" t="n">
        <v>7</v>
      </c>
      <c r="G196" s="34" t="n">
        <v>7.5</v>
      </c>
      <c r="H196" s="34" t="n">
        <v>8</v>
      </c>
    </row>
    <row r="197">
      <c r="B197" s="5" t="inlineStr">
        <is>
          <t>Exit倍率ケース1</t>
        </is>
      </c>
      <c r="C197" s="10" t="n">
        <v>6</v>
      </c>
      <c r="D197" s="18">
        <f>(($C197*$C$174-$C$177)/(D$196*$C$80*(1+$C$11)+$C$12-$C$96))^(1/$C$180)-1</f>
        <v/>
      </c>
      <c r="E197" s="18">
        <f>(($C197*$C$174-$C$177)/(E$196*$C$80*(1+$C$11)+$C$12-$C$96))^(1/$C$180)-1</f>
        <v/>
      </c>
      <c r="F197" s="18">
        <f>(($C197*$C$174-$C$177)/(F$196*$C$80*(1+$C$11)+$C$12-$C$96))^(1/$C$180)-1</f>
        <v/>
      </c>
      <c r="G197" s="18">
        <f>(($C197*$C$174-$C$177)/(G$196*$C$80*(1+$C$11)+$C$12-$C$96))^(1/$C$180)-1</f>
        <v/>
      </c>
      <c r="H197" s="18">
        <f>(($C197*$C$174-$C$177)/(H$196*$C$80*(1+$C$11)+$C$12-$C$96))^(1/$C$180)-1</f>
        <v/>
      </c>
    </row>
    <row r="198">
      <c r="B198" s="5" t="inlineStr">
        <is>
          <t>Exit倍率ケース2</t>
        </is>
      </c>
      <c r="C198" s="10" t="n">
        <v>6.5</v>
      </c>
      <c r="D198" s="18">
        <f>(($C198*$C$174-$C$177)/(D$196*$C$80*(1+$C$11)+$C$12-$C$96))^(1/$C$180)-1</f>
        <v/>
      </c>
      <c r="E198" s="18">
        <f>(($C198*$C$174-$C$177)/(E$196*$C$80*(1+$C$11)+$C$12-$C$96))^(1/$C$180)-1</f>
        <v/>
      </c>
      <c r="F198" s="18">
        <f>(($C198*$C$174-$C$177)/(F$196*$C$80*(1+$C$11)+$C$12-$C$96))^(1/$C$180)-1</f>
        <v/>
      </c>
      <c r="G198" s="18">
        <f>(($C198*$C$174-$C$177)/(G$196*$C$80*(1+$C$11)+$C$12-$C$96))^(1/$C$180)-1</f>
        <v/>
      </c>
      <c r="H198" s="18">
        <f>(($C198*$C$174-$C$177)/(H$196*$C$80*(1+$C$11)+$C$12-$C$96))^(1/$C$180)-1</f>
        <v/>
      </c>
    </row>
    <row r="199">
      <c r="B199" s="5" t="inlineStr">
        <is>
          <t>Exit倍率ケース3</t>
        </is>
      </c>
      <c r="C199" s="10" t="n">
        <v>7</v>
      </c>
      <c r="D199" s="18">
        <f>(($C199*$C$174-$C$177)/(D$196*$C$80*(1+$C$11)+$C$12-$C$96))^(1/$C$180)-1</f>
        <v/>
      </c>
      <c r="E199" s="18">
        <f>(($C199*$C$174-$C$177)/(E$196*$C$80*(1+$C$11)+$C$12-$C$96))^(1/$C$180)-1</f>
        <v/>
      </c>
      <c r="F199" s="18">
        <f>(($C199*$C$174-$C$177)/(F$196*$C$80*(1+$C$11)+$C$12-$C$96))^(1/$C$180)-1</f>
        <v/>
      </c>
      <c r="G199" s="18">
        <f>(($C199*$C$174-$C$177)/(G$196*$C$80*(1+$C$11)+$C$12-$C$96))^(1/$C$180)-1</f>
        <v/>
      </c>
      <c r="H199" s="18">
        <f>(($C199*$C$174-$C$177)/(H$196*$C$80*(1+$C$11)+$C$12-$C$96))^(1/$C$180)-1</f>
        <v/>
      </c>
    </row>
    <row r="200">
      <c r="B200" s="5" t="inlineStr">
        <is>
          <t>Exit倍率ケース4</t>
        </is>
      </c>
      <c r="C200" s="10" t="n">
        <v>7.5</v>
      </c>
      <c r="D200" s="18">
        <f>(($C200*$C$174-$C$177)/(D$196*$C$80*(1+$C$11)+$C$12-$C$96))^(1/$C$180)-1</f>
        <v/>
      </c>
      <c r="E200" s="18">
        <f>(($C200*$C$174-$C$177)/(E$196*$C$80*(1+$C$11)+$C$12-$C$96))^(1/$C$180)-1</f>
        <v/>
      </c>
      <c r="F200" s="18">
        <f>(($C200*$C$174-$C$177)/(F$196*$C$80*(1+$C$11)+$C$12-$C$96))^(1/$C$180)-1</f>
        <v/>
      </c>
      <c r="G200" s="18">
        <f>(($C200*$C$174-$C$177)/(G$196*$C$80*(1+$C$11)+$C$12-$C$96))^(1/$C$180)-1</f>
        <v/>
      </c>
      <c r="H200" s="18">
        <f>(($C200*$C$174-$C$177)/(H$196*$C$80*(1+$C$11)+$C$12-$C$96))^(1/$C$180)-1</f>
        <v/>
      </c>
    </row>
    <row r="201">
      <c r="B201" s="5" t="inlineStr">
        <is>
          <t>Exit倍率ケース5</t>
        </is>
      </c>
      <c r="C201" s="10" t="n">
        <v>8</v>
      </c>
      <c r="D201" s="18">
        <f>(($C201*$C$174-$C$177)/(D$196*$C$80*(1+$C$11)+$C$12-$C$96))^(1/$C$180)-1</f>
        <v/>
      </c>
      <c r="E201" s="18">
        <f>(($C201*$C$174-$C$177)/(E$196*$C$80*(1+$C$11)+$C$12-$C$96))^(1/$C$180)-1</f>
        <v/>
      </c>
      <c r="F201" s="18">
        <f>(($C201*$C$174-$C$177)/(F$196*$C$80*(1+$C$11)+$C$12-$C$96))^(1/$C$180)-1</f>
        <v/>
      </c>
      <c r="G201" s="18">
        <f>(($C201*$C$174-$C$177)/(G$196*$C$80*(1+$C$11)+$C$12-$C$96))^(1/$C$180)-1</f>
        <v/>
      </c>
      <c r="H201" s="18">
        <f>(($C201*$C$174-$C$177)/(H$196*$C$80*(1+$C$11)+$C$12-$C$96))^(1/$C$180)-1</f>
        <v/>
      </c>
    </row>
    <row r="203">
      <c r="A203" s="3" t="inlineStr"/>
      <c r="B203" s="3" t="inlineStr">
        <is>
          <t>感応度マトリクス②：MoIC（Exit倍率 × 買収倍率）</t>
        </is>
      </c>
      <c r="C203" s="4" t="inlineStr">
        <is>
          <t>2025A</t>
        </is>
      </c>
      <c r="D203" s="4" t="inlineStr">
        <is>
          <t>2026E</t>
        </is>
      </c>
      <c r="E203" s="4" t="inlineStr">
        <is>
          <t>2027E</t>
        </is>
      </c>
      <c r="F203" s="4" t="inlineStr">
        <is>
          <t>2028E</t>
        </is>
      </c>
      <c r="G203" s="4" t="inlineStr">
        <is>
          <t>2029E</t>
        </is>
      </c>
      <c r="H203" s="4" t="inlineStr">
        <is>
          <t>2030E</t>
        </is>
      </c>
    </row>
    <row r="204">
      <c r="B204" s="5" t="inlineStr">
        <is>
          <t>Exit倍率（行）＼買収倍率（列）</t>
        </is>
      </c>
      <c r="C204" s="33" t="inlineStr">
        <is>
          <t>Exit＼買収</t>
        </is>
      </c>
      <c r="D204" s="34" t="n">
        <v>6</v>
      </c>
      <c r="E204" s="34" t="n">
        <v>6.5</v>
      </c>
      <c r="F204" s="34" t="n">
        <v>7</v>
      </c>
      <c r="G204" s="34" t="n">
        <v>7.5</v>
      </c>
      <c r="H204" s="34" t="n">
        <v>8</v>
      </c>
    </row>
    <row r="205">
      <c r="B205" s="5" t="inlineStr">
        <is>
          <t>Exit倍率ケース1</t>
        </is>
      </c>
      <c r="C205" s="35" t="n">
        <v>6</v>
      </c>
      <c r="D205" s="36">
        <f>($C205*$C$174-$C$177)/(D$204*$C$80*(1+$C$11)+$C$12-$C$96)</f>
        <v/>
      </c>
      <c r="E205" s="36">
        <f>($C205*$C$174-$C$177)/(E$204*$C$80*(1+$C$11)+$C$12-$C$96)</f>
        <v/>
      </c>
      <c r="F205" s="36">
        <f>($C205*$C$174-$C$177)/(F$204*$C$80*(1+$C$11)+$C$12-$C$96)</f>
        <v/>
      </c>
      <c r="G205" s="36">
        <f>($C205*$C$174-$C$177)/(G$204*$C$80*(1+$C$11)+$C$12-$C$96)</f>
        <v/>
      </c>
      <c r="H205" s="36">
        <f>($C205*$C$174-$C$177)/(H$204*$C$80*(1+$C$11)+$C$12-$C$96)</f>
        <v/>
      </c>
    </row>
    <row r="206">
      <c r="B206" s="5" t="inlineStr">
        <is>
          <t>Exit倍率ケース2</t>
        </is>
      </c>
      <c r="C206" s="35" t="n">
        <v>6.5</v>
      </c>
      <c r="D206" s="36">
        <f>($C206*$C$174-$C$177)/(D$204*$C$80*(1+$C$11)+$C$12-$C$96)</f>
        <v/>
      </c>
      <c r="E206" s="36">
        <f>($C206*$C$174-$C$177)/(E$204*$C$80*(1+$C$11)+$C$12-$C$96)</f>
        <v/>
      </c>
      <c r="F206" s="36">
        <f>($C206*$C$174-$C$177)/(F$204*$C$80*(1+$C$11)+$C$12-$C$96)</f>
        <v/>
      </c>
      <c r="G206" s="36">
        <f>($C206*$C$174-$C$177)/(G$204*$C$80*(1+$C$11)+$C$12-$C$96)</f>
        <v/>
      </c>
      <c r="H206" s="36">
        <f>($C206*$C$174-$C$177)/(H$204*$C$80*(1+$C$11)+$C$12-$C$96)</f>
        <v/>
      </c>
    </row>
    <row r="207">
      <c r="B207" s="5" t="inlineStr">
        <is>
          <t>Exit倍率ケース3</t>
        </is>
      </c>
      <c r="C207" s="35" t="n">
        <v>7</v>
      </c>
      <c r="D207" s="36">
        <f>($C207*$C$174-$C$177)/(D$204*$C$80*(1+$C$11)+$C$12-$C$96)</f>
        <v/>
      </c>
      <c r="E207" s="36">
        <f>($C207*$C$174-$C$177)/(E$204*$C$80*(1+$C$11)+$C$12-$C$96)</f>
        <v/>
      </c>
      <c r="F207" s="36">
        <f>($C207*$C$174-$C$177)/(F$204*$C$80*(1+$C$11)+$C$12-$C$96)</f>
        <v/>
      </c>
      <c r="G207" s="36">
        <f>($C207*$C$174-$C$177)/(G$204*$C$80*(1+$C$11)+$C$12-$C$96)</f>
        <v/>
      </c>
      <c r="H207" s="36">
        <f>($C207*$C$174-$C$177)/(H$204*$C$80*(1+$C$11)+$C$12-$C$96)</f>
        <v/>
      </c>
    </row>
    <row r="208">
      <c r="B208" s="5" t="inlineStr">
        <is>
          <t>Exit倍率ケース4</t>
        </is>
      </c>
      <c r="C208" s="35" t="n">
        <v>7.5</v>
      </c>
      <c r="D208" s="36">
        <f>($C208*$C$174-$C$177)/(D$204*$C$80*(1+$C$11)+$C$12-$C$96)</f>
        <v/>
      </c>
      <c r="E208" s="36">
        <f>($C208*$C$174-$C$177)/(E$204*$C$80*(1+$C$11)+$C$12-$C$96)</f>
        <v/>
      </c>
      <c r="F208" s="36">
        <f>($C208*$C$174-$C$177)/(F$204*$C$80*(1+$C$11)+$C$12-$C$96)</f>
        <v/>
      </c>
      <c r="G208" s="36">
        <f>($C208*$C$174-$C$177)/(G$204*$C$80*(1+$C$11)+$C$12-$C$96)</f>
        <v/>
      </c>
      <c r="H208" s="36">
        <f>($C208*$C$174-$C$177)/(H$204*$C$80*(1+$C$11)+$C$12-$C$96)</f>
        <v/>
      </c>
    </row>
    <row r="209">
      <c r="B209" s="5" t="inlineStr">
        <is>
          <t>Exit倍率ケース5</t>
        </is>
      </c>
      <c r="C209" s="35" t="n">
        <v>8</v>
      </c>
      <c r="D209" s="36">
        <f>($C209*$C$174-$C$177)/(D$204*$C$80*(1+$C$11)+$C$12-$C$96)</f>
        <v/>
      </c>
      <c r="E209" s="36">
        <f>($C209*$C$174-$C$177)/(E$204*$C$80*(1+$C$11)+$C$12-$C$96)</f>
        <v/>
      </c>
      <c r="F209" s="36">
        <f>($C209*$C$174-$C$177)/(F$204*$C$80*(1+$C$11)+$C$12-$C$96)</f>
        <v/>
      </c>
      <c r="G209" s="36">
        <f>($C209*$C$174-$C$177)/(G$204*$C$80*(1+$C$11)+$C$12-$C$96)</f>
        <v/>
      </c>
      <c r="H209" s="36">
        <f>($C209*$C$174-$C$177)/(H$204*$C$80*(1+$C$11)+$C$12-$C$96)</f>
        <v/>
      </c>
    </row>
    <row r="211">
      <c r="A211" s="3" t="inlineStr">
        <is>
          <t>（１５）チェックサマリ</t>
        </is>
      </c>
      <c r="B211" s="3" t="inlineStr">
        <is>
          <t>モデル整合性チェック</t>
        </is>
      </c>
      <c r="C211" s="4" t="inlineStr">
        <is>
          <t>判定</t>
        </is>
      </c>
    </row>
    <row r="212">
      <c r="B212" s="5" t="inlineStr">
        <is>
          <t>BS貸借一致（全期間）</t>
        </is>
      </c>
      <c r="C212" s="7">
        <f>IF(SUMPRODUCT(ABS(C157:H157))&lt;$C$17,"OK","ERROR")</f>
        <v/>
      </c>
    </row>
    <row r="213">
      <c r="B213" s="5" t="inlineStr">
        <is>
          <t>クロージングBS貸借一致</t>
        </is>
      </c>
      <c r="C213" s="7">
        <f>IF(SUMPRODUCT(ABS(C115:E115))&lt;$C$17,"OK","ERROR")</f>
        <v/>
      </c>
    </row>
    <row r="214">
      <c r="B214" s="5" t="inlineStr">
        <is>
          <t>資金使途＝調達</t>
        </is>
      </c>
      <c r="C214" s="7">
        <f>IF(ABS(C95-C98)&lt;$C$17,"OK","ERROR")</f>
        <v/>
      </c>
    </row>
    <row r="215">
      <c r="B215" s="5" t="inlineStr">
        <is>
          <t>ブリッジ差額ゼロ</t>
        </is>
      </c>
      <c r="C215" s="7">
        <f>IF(ABS(C193)&lt;$C$17,"OK","ERROR")</f>
        <v/>
      </c>
    </row>
    <row r="216">
      <c r="B216" s="5" t="inlineStr">
        <is>
          <t>最低現預金の維持（全予測期間）</t>
        </is>
      </c>
      <c r="C216" s="7">
        <f>IF(MIN(D146:H146)&gt;=$C$12-$C$17,"OK","ERROR")</f>
        <v/>
      </c>
    </row>
    <row r="217">
      <c r="B217" s="5" t="inlineStr">
        <is>
          <t>IRR検算（IRR関数＝MoIC換算）</t>
        </is>
      </c>
      <c r="C217" s="7">
        <f>IF(ABS(C184-C182)&lt;$C$17,"OK","ERROR")</f>
        <v/>
      </c>
    </row>
    <row r="218">
      <c r="B218" s="17" t="inlineStr">
        <is>
          <t>総合判定</t>
        </is>
      </c>
      <c r="C218" s="7">
        <f>IF(COUNTIF(C212:C217,"OK")=COUNTA(C212:C217),"ALL OK","ERROR")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2026-10-05T20:25:45Z</dcterms:created>
  <dcterms:modified xsi:type="dcterms:W3CDTF">2026-10-05T20:25:45Z</dcterms:modified>
</cp:coreProperties>
</file>