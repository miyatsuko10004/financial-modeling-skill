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予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14">
    <font>
      <name val="Calibri"/>
      <family val="2"/>
      <color theme="1"/>
      <sz val="11"/>
      <scheme val="minor"/>
    </font>
    <font>
      <name val="Meiryo UI"/>
      <b val="1"/>
      <color rgb="001B365D"/>
      <sz val="14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FF"/>
      <sz val="10"/>
    </font>
    <font>
      <name val="Meiryo UI"/>
      <color rgb="00000000"/>
      <sz val="10"/>
    </font>
    <font>
      <name val="Meiryo UI"/>
      <b val="1"/>
      <sz val="10"/>
    </font>
    <font>
      <name val="Meiryo UI"/>
      <b val="1"/>
      <color rgb="001B365D"/>
      <sz val="11"/>
    </font>
    <font>
      <name val="Meiryo UI"/>
      <b val="1"/>
      <sz val="9"/>
    </font>
    <font>
      <name val="Meiryo UI"/>
      <b val="1"/>
      <color rgb="001B365D"/>
      <sz val="10"/>
    </font>
    <font>
      <name val="Meiryo UI"/>
      <b val="1"/>
      <color rgb="00C00000"/>
      <sz val="10"/>
    </font>
    <font>
      <name val="Meiryo UI"/>
      <b val="1"/>
      <color rgb="00C00000"/>
      <sz val="9"/>
    </font>
    <font>
      <name val="Meiryo UI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3" fontId="4" fillId="0" borderId="1" applyAlignment="1" pivotButton="0" quotePrefix="0" xfId="0">
      <alignment horizontal="right" vertical="center"/>
    </xf>
    <xf numFmtId="0" fontId="8" fillId="0" borderId="0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5" fontId="6" fillId="0" borderId="0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大手産業機器メーカーによる中堅精密技術企業買収におけるBDD・M&amp;A連結合算モデル</t>
        </is>
      </c>
      <c r="H1" s="2" t="inlineStr">
        <is>
          <t>単位: 百万円</t>
        </is>
      </c>
    </row>
    <row r="2">
      <c r="A2" s="3" t="inlineStr">
        <is>
          <t>（１）前提・切替</t>
        </is>
      </c>
      <c r="B2" s="3" t="inlineStr">
        <is>
          <t>前提条件・シナリオ＆会計基準スイッチ</t>
        </is>
      </c>
      <c r="C2" s="4" t="inlineStr">
        <is>
          <t>2025A</t>
        </is>
      </c>
      <c r="D2" s="4" t="inlineStr">
        <is>
          <t>2026E</t>
        </is>
      </c>
      <c r="E2" s="4" t="inlineStr">
        <is>
          <t>2027E</t>
        </is>
      </c>
      <c r="F2" s="4" t="inlineStr">
        <is>
          <t>2028E</t>
        </is>
      </c>
      <c r="G2" s="4" t="inlineStr">
        <is>
          <t>2029E</t>
        </is>
      </c>
      <c r="H2" s="4" t="inlineStr">
        <is>
          <t>2030E</t>
        </is>
      </c>
    </row>
    <row r="3">
      <c r="B3" t="inlineStr">
        <is>
          <t>シナリオ切替（1=Base, 2=Upside, 3=Downside）</t>
        </is>
      </c>
      <c r="C3" s="5" t="n">
        <v>1</v>
      </c>
    </row>
    <row r="4">
      <c r="B4" t="inlineStr">
        <is>
          <t>選択中シナリオ名</t>
        </is>
      </c>
      <c r="C4" s="6">
        <f>CHOOSE($C$3,"Base","Upside","Downside")</f>
        <v/>
      </c>
    </row>
    <row r="5">
      <c r="B5" t="inlineStr">
        <is>
          <t>会計基準スイッチ（1=J-GAAP 規則償却, 2=IFRS 非償却）</t>
        </is>
      </c>
      <c r="C5" s="5" t="n">
        <v>1</v>
      </c>
    </row>
    <row r="6">
      <c r="B6" t="inlineStr">
        <is>
          <t>選択中会計基準名</t>
        </is>
      </c>
      <c r="C6" s="6">
        <f>IF($C$5=1,"日本基準 (J-GAAP: 規則償却)","国際会計基準 (IFRS: 非償却)")</f>
        <v/>
      </c>
    </row>
    <row r="7">
      <c r="B7" t="inlineStr">
        <is>
          <t>のれん償却期間（年数: J-GAAP適用時）</t>
        </is>
      </c>
      <c r="C7" s="5" t="n">
        <v>20</v>
      </c>
    </row>
    <row r="8">
      <c r="B8" t="inlineStr">
        <is>
          <t>実効税率</t>
        </is>
      </c>
      <c r="C8" s="7" t="n">
        <v>0.3</v>
      </c>
    </row>
    <row r="9">
      <c r="B9" t="inlineStr">
        <is>
          <t>借入金利（シニアローン）</t>
        </is>
      </c>
      <c r="C9" s="7" t="n">
        <v>0.02</v>
      </c>
    </row>
    <row r="10">
      <c r="B10" t="inlineStr">
        <is>
          <t>買い手既存 発行済株式数（百万株）</t>
        </is>
      </c>
      <c r="C10" s="5" t="n">
        <v>50</v>
      </c>
    </row>
    <row r="11">
      <c r="B11" t="inlineStr">
        <is>
          <t>買い手既存 当期純利益（スタンドアローン）</t>
        </is>
      </c>
      <c r="C11" s="5" t="n">
        <v>5000</v>
      </c>
      <c r="D11" s="5" t="n">
        <v>5200</v>
      </c>
      <c r="E11" s="5" t="n">
        <v>5400</v>
      </c>
      <c r="F11" s="5" t="n">
        <v>5600</v>
      </c>
      <c r="G11" s="5" t="n">
        <v>5800</v>
      </c>
      <c r="H11" s="5" t="n">
        <v>6000</v>
      </c>
    </row>
    <row r="12">
      <c r="B12" t="inlineStr">
        <is>
          <t>買い手既存 EPS（円/株）</t>
        </is>
      </c>
      <c r="C12" s="6">
        <f>C11/$C$10</f>
        <v/>
      </c>
      <c r="D12" s="6">
        <f>D11/$C$10</f>
        <v/>
      </c>
      <c r="E12" s="6">
        <f>E11/$C$10</f>
        <v/>
      </c>
      <c r="F12" s="6">
        <f>F11/$C$10</f>
        <v/>
      </c>
      <c r="G12" s="6">
        <f>G11/$C$10</f>
        <v/>
      </c>
      <c r="H12" s="6">
        <f>H11/$C$10</f>
        <v/>
      </c>
    </row>
    <row r="14">
      <c r="A14" s="3" t="inlineStr">
        <is>
          <t>（２）部門別損益</t>
        </is>
      </c>
      <c r="B14" s="3" t="inlineStr">
        <is>
          <t>部門別損益推移＆EBITDA正規化調整（BDD）</t>
        </is>
      </c>
      <c r="C14" s="4" t="inlineStr">
        <is>
          <t>2025A</t>
        </is>
      </c>
      <c r="D14" s="4" t="inlineStr">
        <is>
          <t>2026E</t>
        </is>
      </c>
      <c r="E14" s="4" t="inlineStr">
        <is>
          <t>2027E</t>
        </is>
      </c>
      <c r="F14" s="4" t="inlineStr">
        <is>
          <t>2028E</t>
        </is>
      </c>
      <c r="G14" s="4" t="inlineStr">
        <is>
          <t>2029E</t>
        </is>
      </c>
      <c r="H14" s="4" t="inlineStr">
        <is>
          <t>2030E</t>
        </is>
      </c>
    </row>
    <row r="15">
      <c r="B15" t="inlineStr">
        <is>
          <t>【事業部A: 産業機械部品（主力）】売上高</t>
        </is>
      </c>
      <c r="C15" s="5" t="n">
        <v>6000</v>
      </c>
      <c r="D15" s="5" t="n">
        <v>6200</v>
      </c>
      <c r="E15" s="5" t="n">
        <v>6400</v>
      </c>
      <c r="F15" s="5" t="n">
        <v>6600</v>
      </c>
      <c r="G15" s="5" t="n">
        <v>6800</v>
      </c>
      <c r="H15" s="5" t="n">
        <v>7000</v>
      </c>
    </row>
    <row r="16">
      <c r="B16" t="inlineStr">
        <is>
          <t>【事業部A】売上原価</t>
        </is>
      </c>
      <c r="C16" s="5" t="n">
        <v>-3900</v>
      </c>
      <c r="D16" s="5" t="n">
        <v>-4000</v>
      </c>
      <c r="E16" s="5" t="n">
        <v>-4100</v>
      </c>
      <c r="F16" s="5" t="n">
        <v>-4200</v>
      </c>
      <c r="G16" s="5" t="n">
        <v>-4300</v>
      </c>
      <c r="H16" s="5" t="n">
        <v>-4400</v>
      </c>
    </row>
    <row r="17">
      <c r="B17" t="inlineStr">
        <is>
          <t>【事業部A】粗利率</t>
        </is>
      </c>
      <c r="C17" s="8">
        <f>-( C16/C15 )</f>
        <v/>
      </c>
      <c r="D17" s="8">
        <f>-( D16/D15 )</f>
        <v/>
      </c>
      <c r="E17" s="8">
        <f>-( E16/E15 )</f>
        <v/>
      </c>
      <c r="F17" s="8">
        <f>-( F16/F15 )</f>
        <v/>
      </c>
      <c r="G17" s="8">
        <f>-( G16/G15 )</f>
        <v/>
      </c>
      <c r="H17" s="8">
        <f>-( H16/H15 )</f>
        <v/>
      </c>
    </row>
    <row r="18">
      <c r="B18" t="inlineStr">
        <is>
          <t>【事業部B: 医療精密機器（成長）】売上高</t>
        </is>
      </c>
      <c r="C18" s="5" t="n">
        <v>2500</v>
      </c>
      <c r="D18" s="5" t="n">
        <v>2800</v>
      </c>
      <c r="E18" s="5" t="n">
        <v>3100</v>
      </c>
      <c r="F18" s="5" t="n">
        <v>3450</v>
      </c>
      <c r="G18" s="5" t="n">
        <v>3800</v>
      </c>
      <c r="H18" s="5" t="n">
        <v>4200</v>
      </c>
    </row>
    <row r="19">
      <c r="B19" t="inlineStr">
        <is>
          <t>【事業部B】売上原価</t>
        </is>
      </c>
      <c r="C19" s="5" t="n">
        <v>-1250</v>
      </c>
      <c r="D19" s="5" t="n">
        <v>-1370</v>
      </c>
      <c r="E19" s="5" t="n">
        <v>-1500</v>
      </c>
      <c r="F19" s="5" t="n">
        <v>-1650</v>
      </c>
      <c r="G19" s="5" t="n">
        <v>-1800</v>
      </c>
      <c r="H19" s="5" t="n">
        <v>-1950</v>
      </c>
    </row>
    <row r="20">
      <c r="B20" t="inlineStr">
        <is>
          <t>【事業部B】粗利率</t>
        </is>
      </c>
      <c r="C20" s="8">
        <f>-( C19/C18 )</f>
        <v/>
      </c>
      <c r="D20" s="8">
        <f>-( D19/D18 )</f>
        <v/>
      </c>
      <c r="E20" s="8">
        <f>-( E19/E18 )</f>
        <v/>
      </c>
      <c r="F20" s="8">
        <f>-( F19/F18 )</f>
        <v/>
      </c>
      <c r="G20" s="8">
        <f>-( G19/G18 )</f>
        <v/>
      </c>
      <c r="H20" s="8">
        <f>-( H19/H18 )</f>
        <v/>
      </c>
    </row>
    <row r="21">
      <c r="B21" t="inlineStr">
        <is>
          <t>【事業部C: 受託開発サービス（キャパ制約）】売上高</t>
        </is>
      </c>
      <c r="C21" s="5" t="n">
        <v>1500</v>
      </c>
      <c r="D21" s="5" t="n">
        <v>1600</v>
      </c>
      <c r="E21" s="5" t="n">
        <v>1750</v>
      </c>
      <c r="F21" s="5" t="n">
        <v>1900</v>
      </c>
      <c r="G21" s="5" t="n">
        <v>2100</v>
      </c>
      <c r="H21" s="5" t="n">
        <v>2300</v>
      </c>
    </row>
    <row r="22">
      <c r="B22" t="inlineStr">
        <is>
          <t>【事業部C】売上原価</t>
        </is>
      </c>
      <c r="C22" s="5" t="n">
        <v>-900</v>
      </c>
      <c r="D22" s="5" t="n">
        <v>-960</v>
      </c>
      <c r="E22" s="5" t="n">
        <v>-1030</v>
      </c>
      <c r="F22" s="5" t="n">
        <v>-1100</v>
      </c>
      <c r="G22" s="5" t="n">
        <v>-1200</v>
      </c>
      <c r="H22" s="5" t="n">
        <v>-1300</v>
      </c>
    </row>
    <row r="23">
      <c r="B23" t="inlineStr">
        <is>
          <t>【事業部C】粗利率</t>
        </is>
      </c>
      <c r="C23" s="8">
        <f>-( C22/C21 )</f>
        <v/>
      </c>
      <c r="D23" s="8">
        <f>-( D22/D21 )</f>
        <v/>
      </c>
      <c r="E23" s="8">
        <f>-( E22/E21 )</f>
        <v/>
      </c>
      <c r="F23" s="8">
        <f>-( F22/F21 )</f>
        <v/>
      </c>
      <c r="G23" s="8">
        <f>-( G22/G21 )</f>
        <v/>
      </c>
      <c r="H23" s="8">
        <f>-( H22/H21 )</f>
        <v/>
      </c>
    </row>
    <row r="24">
      <c r="B24" s="9" t="inlineStr">
        <is>
          <t>対象会社 合計売上高（スタンドアローン）</t>
        </is>
      </c>
      <c r="C24" s="10">
        <f>C15+C18+C21</f>
        <v/>
      </c>
      <c r="D24" s="10">
        <f>D15+D18+D21</f>
        <v/>
      </c>
      <c r="E24" s="10">
        <f>E15+E18+E21</f>
        <v/>
      </c>
      <c r="F24" s="10">
        <f>F15+F18+F21</f>
        <v/>
      </c>
      <c r="G24" s="10">
        <f>G15+G18+G21</f>
        <v/>
      </c>
      <c r="H24" s="10">
        <f>H15+H18+H21</f>
        <v/>
      </c>
    </row>
    <row r="25">
      <c r="B25" t="inlineStr">
        <is>
          <t>対象会社 合計売上原価</t>
        </is>
      </c>
      <c r="C25" s="10">
        <f>C16+C19+C22</f>
        <v/>
      </c>
      <c r="D25" s="10">
        <f>D16+D19+D22</f>
        <v/>
      </c>
      <c r="E25" s="10">
        <f>E16+E19+E22</f>
        <v/>
      </c>
      <c r="F25" s="10">
        <f>F16+F19+F22</f>
        <v/>
      </c>
      <c r="G25" s="10">
        <f>G16+G19+G22</f>
        <v/>
      </c>
      <c r="H25" s="10">
        <f>H16+H19+H22</f>
        <v/>
      </c>
    </row>
    <row r="26">
      <c r="B26" s="9" t="inlineStr">
        <is>
          <t>対象会社 合計売上総利益</t>
        </is>
      </c>
      <c r="C26" s="10">
        <f>C24+C25</f>
        <v/>
      </c>
      <c r="D26" s="10">
        <f>D24+D25</f>
        <v/>
      </c>
      <c r="E26" s="10">
        <f>E24+E25</f>
        <v/>
      </c>
      <c r="F26" s="10">
        <f>F24+F25</f>
        <v/>
      </c>
      <c r="G26" s="10">
        <f>G24+G25</f>
        <v/>
      </c>
      <c r="H26" s="10">
        <f>H24+H25</f>
        <v/>
      </c>
    </row>
    <row r="27">
      <c r="B27" t="inlineStr">
        <is>
          <t>全社粗利率</t>
        </is>
      </c>
      <c r="C27" s="8">
        <f>C26/C24</f>
        <v/>
      </c>
      <c r="D27" s="8">
        <f>D26/D24</f>
        <v/>
      </c>
      <c r="E27" s="8">
        <f>E26/E24</f>
        <v/>
      </c>
      <c r="F27" s="8">
        <f>F26/F24</f>
        <v/>
      </c>
      <c r="G27" s="8">
        <f>G26/G24</f>
        <v/>
      </c>
      <c r="H27" s="8">
        <f>H26/H24</f>
        <v/>
      </c>
    </row>
    <row r="28">
      <c r="B28" t="inlineStr">
        <is>
          <t>会計上販売費及び一般管理費</t>
        </is>
      </c>
      <c r="C28" s="5" t="n">
        <v>-2350</v>
      </c>
      <c r="D28" s="5" t="n">
        <v>-2420</v>
      </c>
      <c r="E28" s="5" t="n">
        <v>-2490</v>
      </c>
      <c r="F28" s="5" t="n">
        <v>-2560</v>
      </c>
      <c r="G28" s="5" t="n">
        <v>-2640</v>
      </c>
      <c r="H28" s="5" t="n">
        <v>-2720</v>
      </c>
    </row>
    <row r="29">
      <c r="B29" s="9" t="inlineStr">
        <is>
          <t>会計上営業利益（Reported EBIT）</t>
        </is>
      </c>
      <c r="C29" s="10">
        <f>C26+C28</f>
        <v/>
      </c>
      <c r="D29" s="10">
        <f>D26+D28</f>
        <v/>
      </c>
      <c r="E29" s="10">
        <f>E26+E28</f>
        <v/>
      </c>
      <c r="F29" s="10">
        <f>F26+F28</f>
        <v/>
      </c>
      <c r="G29" s="10">
        <f>G26+G28</f>
        <v/>
      </c>
      <c r="H29" s="10">
        <f>H26+H28</f>
        <v/>
      </c>
    </row>
    <row r="30">
      <c r="B30" t="inlineStr">
        <is>
          <t>減価償却費（D&amp;A）</t>
        </is>
      </c>
      <c r="C30" s="5" t="n">
        <v>200</v>
      </c>
      <c r="D30" s="5" t="n">
        <v>220</v>
      </c>
      <c r="E30" s="5" t="n">
        <v>240</v>
      </c>
      <c r="F30" s="5" t="n">
        <v>250</v>
      </c>
      <c r="G30" s="5" t="n">
        <v>260</v>
      </c>
      <c r="H30" s="5" t="n">
        <v>270</v>
      </c>
    </row>
    <row r="31">
      <c r="B31" s="9" t="inlineStr">
        <is>
          <t>会計上EBITDA（Reported EBITDA）</t>
        </is>
      </c>
      <c r="C31" s="10">
        <f>C29+C30</f>
        <v/>
      </c>
      <c r="D31" s="10">
        <f>D29+D30</f>
        <v/>
      </c>
      <c r="E31" s="10">
        <f>E29+E30</f>
        <v/>
      </c>
      <c r="F31" s="10">
        <f>F29+F30</f>
        <v/>
      </c>
      <c r="G31" s="10">
        <f>G29+G30</f>
        <v/>
      </c>
      <c r="H31" s="10">
        <f>H29+H30</f>
        <v/>
      </c>
    </row>
    <row r="32">
      <c r="B32" t="inlineStr">
        <is>
          <t>【調整(+)】創業者・役員報酬適正化</t>
        </is>
      </c>
      <c r="C32" s="5" t="n">
        <v>60</v>
      </c>
    </row>
    <row r="33">
      <c r="B33" t="inlineStr">
        <is>
          <t>【調整(+)】私的経費・非業務交際費の除外</t>
        </is>
      </c>
      <c r="C33" s="5" t="n">
        <v>30</v>
      </c>
    </row>
    <row r="34">
      <c r="B34" t="inlineStr">
        <is>
          <t>【調整(+)】事業部A 特需反動・一過性移転費用除外</t>
        </is>
      </c>
      <c r="C34" s="5" t="n">
        <v>50</v>
      </c>
    </row>
    <row r="35">
      <c r="B35" s="11" t="inlineStr">
        <is>
          <t>実質収益力・正規化EBITDA（Normalized EBITDA）</t>
        </is>
      </c>
      <c r="C35" s="12">
        <f>C31+SUM(C32:C34)</f>
        <v/>
      </c>
    </row>
    <row r="36">
      <c r="B36" t="inlineStr">
        <is>
          <t>正規化EBITDAマージン</t>
        </is>
      </c>
      <c r="C36" s="8">
        <f>C35/C24</f>
        <v/>
      </c>
    </row>
    <row r="38">
      <c r="A38" s="3" t="inlineStr">
        <is>
          <t>（３）人員制約</t>
        </is>
      </c>
      <c r="B38" s="3" t="inlineStr">
        <is>
          <t>人員キャパシティ＆戦力化タイムラグ（Headcount Model）</t>
        </is>
      </c>
      <c r="C38" s="4" t="inlineStr">
        <is>
          <t>2025A</t>
        </is>
      </c>
      <c r="D38" s="4" t="inlineStr">
        <is>
          <t>2026E</t>
        </is>
      </c>
      <c r="E38" s="4" t="inlineStr">
        <is>
          <t>2027E</t>
        </is>
      </c>
      <c r="F38" s="4" t="inlineStr">
        <is>
          <t>2028E</t>
        </is>
      </c>
      <c r="G38" s="4" t="inlineStr">
        <is>
          <t>2029E</t>
        </is>
      </c>
      <c r="H38" s="4" t="inlineStr">
        <is>
          <t>2030E</t>
        </is>
      </c>
    </row>
    <row r="39">
      <c r="B39" t="inlineStr">
        <is>
          <t>期首人員数（名）</t>
        </is>
      </c>
      <c r="C39" s="5" t="n">
        <v>100</v>
      </c>
      <c r="D39" s="6">
        <f>C42</f>
        <v/>
      </c>
      <c r="E39" s="6">
        <f>D42</f>
        <v/>
      </c>
      <c r="F39" s="6">
        <f>E42</f>
        <v/>
      </c>
      <c r="G39" s="6">
        <f>F42</f>
        <v/>
      </c>
      <c r="H39" s="6">
        <f>G42</f>
        <v/>
      </c>
    </row>
    <row r="40">
      <c r="B40" t="inlineStr">
        <is>
          <t>採用人数（名）</t>
        </is>
      </c>
      <c r="C40" s="5" t="n">
        <v>10</v>
      </c>
      <c r="D40" s="5" t="n">
        <v>15</v>
      </c>
      <c r="E40" s="5" t="n">
        <v>20</v>
      </c>
      <c r="F40" s="5" t="n">
        <v>22</v>
      </c>
      <c r="G40" s="5" t="n">
        <v>25</v>
      </c>
      <c r="H40" s="5" t="n">
        <v>25</v>
      </c>
    </row>
    <row r="41">
      <c r="B41" t="inlineStr">
        <is>
          <t>退職人数（名）</t>
        </is>
      </c>
      <c r="C41" s="5" t="n">
        <v>5</v>
      </c>
      <c r="D41" s="5" t="n">
        <v>5</v>
      </c>
      <c r="E41" s="5" t="n">
        <v>6</v>
      </c>
      <c r="F41" s="5" t="n">
        <v>6</v>
      </c>
      <c r="G41" s="5" t="n">
        <v>7</v>
      </c>
      <c r="H41" s="5" t="n">
        <v>7</v>
      </c>
    </row>
    <row r="42">
      <c r="B42" s="13" t="inlineStr">
        <is>
          <t>期末人員数（名）</t>
        </is>
      </c>
      <c r="C42" s="10">
        <f>C39+C40-C41</f>
        <v/>
      </c>
      <c r="D42" s="10">
        <f>D39+D40-D41</f>
        <v/>
      </c>
      <c r="E42" s="10">
        <f>E39+E40-E41</f>
        <v/>
      </c>
      <c r="F42" s="10">
        <f>F39+F40-F41</f>
        <v/>
      </c>
      <c r="G42" s="10">
        <f>G39+G40-G41</f>
        <v/>
      </c>
      <c r="H42" s="10">
        <f>H39+H40-H41</f>
        <v/>
      </c>
    </row>
    <row r="43">
      <c r="B43" t="inlineStr">
        <is>
          <t>新人立ち上がり戦力化係数（1年目）</t>
        </is>
      </c>
      <c r="C43" s="7" t="n">
        <v>0.5</v>
      </c>
      <c r="D43" s="7" t="n">
        <v>0.5</v>
      </c>
      <c r="E43" s="7" t="n">
        <v>0.5</v>
      </c>
      <c r="F43" s="7" t="n">
        <v>0.5</v>
      </c>
      <c r="G43" s="7" t="n">
        <v>0.5</v>
      </c>
      <c r="H43" s="7" t="n">
        <v>0.5</v>
      </c>
    </row>
    <row r="44">
      <c r="B44" s="13" t="inlineStr">
        <is>
          <t>有効稼働人員（FTE換算）</t>
        </is>
      </c>
      <c r="C44" s="6">
        <f>C39+(C40*C43)-C41</f>
        <v/>
      </c>
      <c r="D44" s="6">
        <f>D39+(D40*D43)-D41</f>
        <v/>
      </c>
      <c r="E44" s="6">
        <f>E39+(E40*E43)-E41</f>
        <v/>
      </c>
      <c r="F44" s="6">
        <f>F39+(F40*F43)-F41</f>
        <v/>
      </c>
      <c r="G44" s="6">
        <f>G39+(G40*G43)-G41</f>
        <v/>
      </c>
      <c r="H44" s="6">
        <f>H39+(H40*H43)-H41</f>
        <v/>
      </c>
    </row>
    <row r="45">
      <c r="B45" t="inlineStr">
        <is>
          <t>一人あたり平均売上高（百万円/名）</t>
        </is>
      </c>
      <c r="C45" s="5" t="n">
        <v>20</v>
      </c>
      <c r="D45" s="5" t="n">
        <v>20</v>
      </c>
      <c r="E45" s="5" t="n">
        <v>20</v>
      </c>
      <c r="F45" s="5" t="n">
        <v>20</v>
      </c>
      <c r="G45" s="5" t="n">
        <v>20</v>
      </c>
      <c r="H45" s="5" t="n">
        <v>20</v>
      </c>
    </row>
    <row r="46">
      <c r="B46" s="9" t="inlineStr">
        <is>
          <t>供給可能キャパシティ売上高（上限）</t>
        </is>
      </c>
      <c r="C46" s="12">
        <f>C44*C45</f>
        <v/>
      </c>
      <c r="D46" s="12">
        <f>D44*D45</f>
        <v/>
      </c>
      <c r="E46" s="12">
        <f>E44*E45</f>
        <v/>
      </c>
      <c r="F46" s="12">
        <f>F44*F45</f>
        <v/>
      </c>
      <c r="G46" s="12">
        <f>G44*G45</f>
        <v/>
      </c>
      <c r="H46" s="12">
        <f>H44*H45</f>
        <v/>
      </c>
    </row>
    <row r="47">
      <c r="B47" t="inlineStr">
        <is>
          <t>1人あたり採用費（百万円/名）</t>
        </is>
      </c>
      <c r="C47" s="5" t="n">
        <v>1.5</v>
      </c>
      <c r="D47" s="5" t="n">
        <v>1.5</v>
      </c>
      <c r="E47" s="5" t="n">
        <v>1.5</v>
      </c>
      <c r="F47" s="5" t="n">
        <v>1.5</v>
      </c>
      <c r="G47" s="5" t="n">
        <v>1.5</v>
      </c>
      <c r="H47" s="5" t="n">
        <v>1.5</v>
      </c>
    </row>
    <row r="48">
      <c r="B48" t="inlineStr">
        <is>
          <t>採用費用総額（マイナス）</t>
        </is>
      </c>
      <c r="C48" s="6">
        <f>-C40*C47</f>
        <v/>
      </c>
      <c r="D48" s="6">
        <f>-D40*D47</f>
        <v/>
      </c>
      <c r="E48" s="6">
        <f>-E40*E47</f>
        <v/>
      </c>
      <c r="F48" s="6">
        <f>-F40*F47</f>
        <v/>
      </c>
      <c r="G48" s="6">
        <f>-G40*G47</f>
        <v/>
      </c>
      <c r="H48" s="6">
        <f>-H40*H47</f>
        <v/>
      </c>
    </row>
    <row r="49">
      <c r="B49" t="inlineStr">
        <is>
          <t>1人あたり平均労務費（百万円/名）</t>
        </is>
      </c>
      <c r="C49" s="5" t="n">
        <v>6</v>
      </c>
      <c r="D49" s="5" t="n">
        <v>6</v>
      </c>
      <c r="E49" s="5" t="n">
        <v>6</v>
      </c>
      <c r="F49" s="5" t="n">
        <v>6</v>
      </c>
      <c r="G49" s="5" t="n">
        <v>6</v>
      </c>
      <c r="H49" s="5" t="n">
        <v>6</v>
      </c>
    </row>
    <row r="50">
      <c r="B50" t="inlineStr">
        <is>
          <t>労務費総額（マイナス）</t>
        </is>
      </c>
      <c r="C50" s="6">
        <f>-C42*C49</f>
        <v/>
      </c>
      <c r="D50" s="6">
        <f>-D42*D49</f>
        <v/>
      </c>
      <c r="E50" s="6">
        <f>-E42*E49</f>
        <v/>
      </c>
      <c r="F50" s="6">
        <f>-F42*F49</f>
        <v/>
      </c>
      <c r="G50" s="6">
        <f>-G42*G49</f>
        <v/>
      </c>
      <c r="H50" s="6">
        <f>-H42*H49</f>
        <v/>
      </c>
    </row>
    <row r="52">
      <c r="A52" s="3" t="inlineStr">
        <is>
          <t>（４）売上増減</t>
        </is>
      </c>
      <c r="B52" s="3" t="inlineStr">
        <is>
          <t>顧客別売上増減分析（ウォーターフォール・NRR精査）</t>
        </is>
      </c>
      <c r="C52" s="4" t="inlineStr">
        <is>
          <t>2025A</t>
        </is>
      </c>
      <c r="D52" s="4" t="inlineStr">
        <is>
          <t>2026E</t>
        </is>
      </c>
      <c r="E52" s="4" t="inlineStr">
        <is>
          <t>2027E</t>
        </is>
      </c>
      <c r="F52" s="4" t="inlineStr">
        <is>
          <t>2028E</t>
        </is>
      </c>
      <c r="G52" s="4" t="inlineStr">
        <is>
          <t>2029E</t>
        </is>
      </c>
      <c r="H52" s="4" t="inlineStr">
        <is>
          <t>2030E</t>
        </is>
      </c>
    </row>
    <row r="53">
      <c r="B53" t="inlineStr">
        <is>
          <t>前期売上高</t>
        </is>
      </c>
      <c r="C53" s="5" t="n">
        <v>9500</v>
      </c>
      <c r="D53" s="6">
        <f>C24</f>
        <v/>
      </c>
      <c r="E53" s="6">
        <f>D24</f>
        <v/>
      </c>
      <c r="F53" s="6">
        <f>E24</f>
        <v/>
      </c>
      <c r="G53" s="6">
        <f>F24</f>
        <v/>
      </c>
      <c r="H53" s="6">
        <f>G24</f>
        <v/>
      </c>
    </row>
    <row r="54">
      <c r="B54" t="inlineStr">
        <is>
          <t>既存顧客離脱・縮小（Churn・マイナス）</t>
        </is>
      </c>
      <c r="C54" s="5" t="n">
        <v>-400</v>
      </c>
      <c r="D54" s="5" t="n">
        <v>-450</v>
      </c>
      <c r="E54" s="5" t="n">
        <v>-480</v>
      </c>
      <c r="F54" s="5" t="n">
        <v>-500</v>
      </c>
      <c r="G54" s="5" t="n">
        <v>-520</v>
      </c>
      <c r="H54" s="5" t="n">
        <v>-550</v>
      </c>
    </row>
    <row r="55">
      <c r="B55" t="inlineStr">
        <is>
          <t>既存顧客深掘り・単価アップ（Expansion）</t>
        </is>
      </c>
      <c r="C55" s="5" t="n">
        <v>500</v>
      </c>
      <c r="D55" s="5" t="n">
        <v>650</v>
      </c>
      <c r="E55" s="5" t="n">
        <v>750</v>
      </c>
      <c r="F55" s="5" t="n">
        <v>850</v>
      </c>
      <c r="G55" s="5" t="n">
        <v>950</v>
      </c>
      <c r="H55" s="5" t="n">
        <v>1050</v>
      </c>
    </row>
    <row r="56">
      <c r="B56" t="inlineStr">
        <is>
          <t>新規顧客獲得（New Logo）</t>
        </is>
      </c>
      <c r="C56" s="5" t="n">
        <v>400</v>
      </c>
      <c r="D56" s="5" t="n">
        <v>900</v>
      </c>
      <c r="E56" s="5" t="n">
        <v>980</v>
      </c>
      <c r="F56" s="5" t="n">
        <v>1050</v>
      </c>
      <c r="G56" s="5" t="n">
        <v>1120</v>
      </c>
      <c r="H56" s="5" t="n">
        <v>1200</v>
      </c>
    </row>
    <row r="57">
      <c r="B57" s="9" t="inlineStr">
        <is>
          <t>検証後売上高計</t>
        </is>
      </c>
      <c r="C57" s="12">
        <f>C53+C54+C55+C56</f>
        <v/>
      </c>
      <c r="D57" s="12">
        <f>D53+D54+D55+D56</f>
        <v/>
      </c>
      <c r="E57" s="12">
        <f>E53+E54+E55+E56</f>
        <v/>
      </c>
      <c r="F57" s="12">
        <f>F53+F54+F55+F56</f>
        <v/>
      </c>
      <c r="G57" s="12">
        <f>G53+G54+G55+G56</f>
        <v/>
      </c>
      <c r="H57" s="12">
        <f>H53+H54+H55+H56</f>
        <v/>
      </c>
    </row>
    <row r="58">
      <c r="B58" s="13" t="inlineStr">
        <is>
          <t>既存顧客維持率（NRR: Net Revenue Retention）</t>
        </is>
      </c>
      <c r="C58" s="8">
        <f>(C53+C54+C55)/C53</f>
        <v/>
      </c>
      <c r="D58" s="8">
        <f>(D53+D54+D55)/D53</f>
        <v/>
      </c>
      <c r="E58" s="8">
        <f>(E53+E54+E55)/E53</f>
        <v/>
      </c>
      <c r="F58" s="8">
        <f>(F53+F54+F55)/F53</f>
        <v/>
      </c>
      <c r="G58" s="8">
        <f>(G53+G54+G55)/G53</f>
        <v/>
      </c>
      <c r="H58" s="8">
        <f>(H53+H54+H55)/H53</f>
        <v/>
      </c>
    </row>
    <row r="60">
      <c r="A60" s="3" t="inlineStr">
        <is>
          <t>（５）シナジー</t>
        </is>
      </c>
      <c r="B60" s="3" t="inlineStr">
        <is>
          <t>シナジー計画＆100日プランPMI一時費用</t>
        </is>
      </c>
      <c r="C60" s="4" t="inlineStr">
        <is>
          <t>2025A</t>
        </is>
      </c>
      <c r="D60" s="4" t="inlineStr">
        <is>
          <t>2026E</t>
        </is>
      </c>
      <c r="E60" s="4" t="inlineStr">
        <is>
          <t>2027E</t>
        </is>
      </c>
      <c r="F60" s="4" t="inlineStr">
        <is>
          <t>2028E</t>
        </is>
      </c>
      <c r="G60" s="4" t="inlineStr">
        <is>
          <t>2029E</t>
        </is>
      </c>
      <c r="H60" s="4" t="inlineStr">
        <is>
          <t>2030E</t>
        </is>
      </c>
    </row>
    <row r="61">
      <c r="B61" t="inlineStr">
        <is>
          <t>【売上シナジー】既存顧客クロスセル売上高</t>
        </is>
      </c>
      <c r="C61" s="5" t="n">
        <v>0</v>
      </c>
      <c r="D61" s="5" t="n">
        <v>200</v>
      </c>
      <c r="E61" s="5" t="n">
        <v>500</v>
      </c>
      <c r="F61" s="5" t="n">
        <v>800</v>
      </c>
      <c r="G61" s="5" t="n">
        <v>1100</v>
      </c>
      <c r="H61" s="5" t="n">
        <v>1400</v>
      </c>
    </row>
    <row r="62">
      <c r="B62" t="inlineStr">
        <is>
          <t>【売上シナジー】新規共同サービス開発売上高</t>
        </is>
      </c>
      <c r="C62" s="5" t="n">
        <v>0</v>
      </c>
      <c r="D62" s="5" t="n">
        <v>100</v>
      </c>
      <c r="E62" s="5" t="n">
        <v>250</v>
      </c>
      <c r="F62" s="5" t="n">
        <v>450</v>
      </c>
      <c r="G62" s="5" t="n">
        <v>700</v>
      </c>
      <c r="H62" s="5" t="n">
        <v>950</v>
      </c>
    </row>
    <row r="63">
      <c r="B63" t="inlineStr">
        <is>
          <t>売上シナジー想定粗利率</t>
        </is>
      </c>
      <c r="C63" s="7" t="n">
        <v>0.4</v>
      </c>
      <c r="D63" s="7" t="n">
        <v>0.4</v>
      </c>
      <c r="E63" s="7" t="n">
        <v>0.4</v>
      </c>
      <c r="F63" s="7" t="n">
        <v>0.4</v>
      </c>
      <c r="G63" s="7" t="n">
        <v>0.4</v>
      </c>
      <c r="H63" s="7" t="n">
        <v>0.4</v>
      </c>
    </row>
    <row r="64">
      <c r="B64" t="inlineStr">
        <is>
          <t>売上シナジー創出粗利額</t>
        </is>
      </c>
      <c r="C64" s="6">
        <f>(C61+C62)*C63</f>
        <v/>
      </c>
      <c r="D64" s="6">
        <f>(D61+D62)*D63</f>
        <v/>
      </c>
      <c r="E64" s="6">
        <f>(E61+E62)*E63</f>
        <v/>
      </c>
      <c r="F64" s="6">
        <f>(F61+F62)*F63</f>
        <v/>
      </c>
      <c r="G64" s="6">
        <f>(G61+G62)*G63</f>
        <v/>
      </c>
      <c r="H64" s="6">
        <f>(H61+H62)*H63</f>
        <v/>
      </c>
    </row>
    <row r="65">
      <c r="B65" t="inlineStr">
        <is>
          <t>【コストシナジー】共同調達原価削減額</t>
        </is>
      </c>
      <c r="C65" s="5" t="n">
        <v>0</v>
      </c>
      <c r="D65" s="5" t="n">
        <v>50</v>
      </c>
      <c r="E65" s="5" t="n">
        <v>100</v>
      </c>
      <c r="F65" s="5" t="n">
        <v>150</v>
      </c>
      <c r="G65" s="5" t="n">
        <v>200</v>
      </c>
      <c r="H65" s="5" t="n">
        <v>250</v>
      </c>
    </row>
    <row r="66">
      <c r="B66" t="inlineStr">
        <is>
          <t>【コストシナジー】拠点統合・共通管理費削減額</t>
        </is>
      </c>
      <c r="C66" s="5" t="n">
        <v>0</v>
      </c>
      <c r="D66" s="5" t="n">
        <v>30</v>
      </c>
      <c r="E66" s="5" t="n">
        <v>60</v>
      </c>
      <c r="F66" s="5" t="n">
        <v>90</v>
      </c>
      <c r="G66" s="5" t="n">
        <v>120</v>
      </c>
      <c r="H66" s="5" t="n">
        <v>150</v>
      </c>
    </row>
    <row r="67">
      <c r="B67" t="inlineStr">
        <is>
          <t>シナジー年次発現率（Ramp-up %）</t>
        </is>
      </c>
      <c r="C67" s="7" t="n">
        <v>0</v>
      </c>
      <c r="D67" s="7" t="n">
        <v>0.2</v>
      </c>
      <c r="E67" s="7" t="n">
        <v>0.5</v>
      </c>
      <c r="F67" s="7" t="n">
        <v>0.75</v>
      </c>
      <c r="G67" s="7" t="n">
        <v>0.9</v>
      </c>
      <c r="H67" s="7" t="n">
        <v>1</v>
      </c>
    </row>
    <row r="68">
      <c r="B68" s="14" t="inlineStr">
        <is>
          <t>年間純シナジー創出額</t>
        </is>
      </c>
      <c r="C68" s="10">
        <f>(C64+C65+C66)*C67</f>
        <v/>
      </c>
      <c r="D68" s="10">
        <f>(D64+D65+D66)*D67</f>
        <v/>
      </c>
      <c r="E68" s="10">
        <f>(E64+E65+E66)*E67</f>
        <v/>
      </c>
      <c r="F68" s="10">
        <f>(F64+F65+F66)*F67</f>
        <v/>
      </c>
      <c r="G68" s="10">
        <f>(G64+G65+G66)*G67</f>
        <v/>
      </c>
      <c r="H68" s="10">
        <f>(H64+H65+H66)*H67</f>
        <v/>
      </c>
    </row>
    <row r="69">
      <c r="B69" t="inlineStr">
        <is>
          <t>【100日PMI費用】システム統合・基幹連携（マイナス）</t>
        </is>
      </c>
      <c r="C69" s="5" t="n">
        <v>0</v>
      </c>
      <c r="D69" s="5" t="n">
        <v>-80</v>
      </c>
      <c r="E69" s="5" t="n">
        <v>-40</v>
      </c>
      <c r="F69" s="5" t="n">
        <v>0</v>
      </c>
      <c r="G69" s="5" t="n">
        <v>0</v>
      </c>
      <c r="H69" s="5" t="n">
        <v>0</v>
      </c>
    </row>
    <row r="70">
      <c r="B70" t="inlineStr">
        <is>
          <t>【100日PMI費用】ブランド刷新・PMIアドバイザリー（マイナス）</t>
        </is>
      </c>
      <c r="C70" s="5" t="n">
        <v>0</v>
      </c>
      <c r="D70" s="5" t="n">
        <v>-50</v>
      </c>
      <c r="E70" s="5" t="n">
        <v>-20</v>
      </c>
      <c r="F70" s="5" t="n">
        <v>0</v>
      </c>
      <c r="G70" s="5" t="n">
        <v>0</v>
      </c>
      <c r="H70" s="5" t="n">
        <v>0</v>
      </c>
    </row>
    <row r="71">
      <c r="B71" t="inlineStr">
        <is>
          <t>【100日PMI費用】重複拠点解約違約金・移転費（マイナス）</t>
        </is>
      </c>
      <c r="C71" s="5" t="n">
        <v>0</v>
      </c>
      <c r="D71" s="5" t="n">
        <v>-30</v>
      </c>
      <c r="E71" s="5" t="n">
        <v>-10</v>
      </c>
      <c r="F71" s="5" t="n">
        <v>0</v>
      </c>
      <c r="G71" s="5" t="n">
        <v>0</v>
      </c>
      <c r="H71" s="5" t="n">
        <v>0</v>
      </c>
    </row>
    <row r="72">
      <c r="B72" s="15" t="inlineStr">
        <is>
          <t>PMI一時費用合計（経常外・マイナス）</t>
        </is>
      </c>
      <c r="C72" s="10">
        <f>SUM(C69:C71)</f>
        <v/>
      </c>
      <c r="D72" s="10">
        <f>SUM(D69:D71)</f>
        <v/>
      </c>
      <c r="E72" s="10">
        <f>SUM(E69:E71)</f>
        <v/>
      </c>
      <c r="F72" s="10">
        <f>SUM(F69:F71)</f>
        <v/>
      </c>
      <c r="G72" s="10">
        <f>SUM(G69:G71)</f>
        <v/>
      </c>
      <c r="H72" s="10">
        <f>SUM(H69:H71)</f>
        <v/>
      </c>
    </row>
    <row r="74">
      <c r="A74" s="3" t="inlineStr">
        <is>
          <t>（６）プロフォルマ損益</t>
        </is>
      </c>
      <c r="B74" s="3" t="inlineStr">
        <is>
          <t>対象会社 プロフォルマ損益計算書（Stand-alone＋シナジー−PMI）</t>
        </is>
      </c>
      <c r="C74" s="4" t="inlineStr">
        <is>
          <t>2025A</t>
        </is>
      </c>
      <c r="D74" s="4" t="inlineStr">
        <is>
          <t>2026E</t>
        </is>
      </c>
      <c r="E74" s="4" t="inlineStr">
        <is>
          <t>2027E</t>
        </is>
      </c>
      <c r="F74" s="4" t="inlineStr">
        <is>
          <t>2028E</t>
        </is>
      </c>
      <c r="G74" s="4" t="inlineStr">
        <is>
          <t>2029E</t>
        </is>
      </c>
      <c r="H74" s="4" t="inlineStr">
        <is>
          <t>2030E</t>
        </is>
      </c>
    </row>
    <row r="75">
      <c r="B75" t="inlineStr">
        <is>
          <t>スタンドアローン売上高</t>
        </is>
      </c>
      <c r="C75" s="6">
        <f>C24</f>
        <v/>
      </c>
      <c r="D75" s="6">
        <f>D24</f>
        <v/>
      </c>
      <c r="E75" s="6">
        <f>E24</f>
        <v/>
      </c>
      <c r="F75" s="6">
        <f>F24</f>
        <v/>
      </c>
      <c r="G75" s="6">
        <f>G24</f>
        <v/>
      </c>
      <c r="H75" s="6">
        <f>H24</f>
        <v/>
      </c>
    </row>
    <row r="76">
      <c r="B76" t="inlineStr">
        <is>
          <t>売上シナジー加算額</t>
        </is>
      </c>
      <c r="C76" s="6">
        <f>(C61+C62)*C67</f>
        <v/>
      </c>
      <c r="D76" s="6">
        <f>(D61+D62)*D67</f>
        <v/>
      </c>
      <c r="E76" s="6">
        <f>(E61+E62)*E67</f>
        <v/>
      </c>
      <c r="F76" s="6">
        <f>(F61+F62)*F67</f>
        <v/>
      </c>
      <c r="G76" s="6">
        <f>(G61+G62)*G67</f>
        <v/>
      </c>
      <c r="H76" s="6">
        <f>(H61+H62)*H67</f>
        <v/>
      </c>
    </row>
    <row r="77">
      <c r="B77" s="9" t="inlineStr">
        <is>
          <t>プロフォルマ売上高</t>
        </is>
      </c>
      <c r="C77" s="12">
        <f>C75+C76</f>
        <v/>
      </c>
      <c r="D77" s="12">
        <f>D75+D76</f>
        <v/>
      </c>
      <c r="E77" s="12">
        <f>E75+E76</f>
        <v/>
      </c>
      <c r="F77" s="12">
        <f>F75+F76</f>
        <v/>
      </c>
      <c r="G77" s="12">
        <f>G75+G76</f>
        <v/>
      </c>
      <c r="H77" s="12">
        <f>H75+H76</f>
        <v/>
      </c>
    </row>
    <row r="78">
      <c r="B78" t="inlineStr">
        <is>
          <t>スタンドアローン売上原価</t>
        </is>
      </c>
      <c r="C78" s="6">
        <f>C25</f>
        <v/>
      </c>
      <c r="D78" s="6">
        <f>D25</f>
        <v/>
      </c>
      <c r="E78" s="6">
        <f>E25</f>
        <v/>
      </c>
      <c r="F78" s="6">
        <f>F25</f>
        <v/>
      </c>
      <c r="G78" s="6">
        <f>G25</f>
        <v/>
      </c>
      <c r="H78" s="6">
        <f>H25</f>
        <v/>
      </c>
    </row>
    <row r="79">
      <c r="B79" t="inlineStr">
        <is>
          <t>調達コストシナジー（原価削減）</t>
        </is>
      </c>
      <c r="C79" s="6">
        <f>C65*C67</f>
        <v/>
      </c>
      <c r="D79" s="6">
        <f>D65*D67</f>
        <v/>
      </c>
      <c r="E79" s="6">
        <f>E65*E67</f>
        <v/>
      </c>
      <c r="F79" s="6">
        <f>F65*F67</f>
        <v/>
      </c>
      <c r="G79" s="6">
        <f>G65*G67</f>
        <v/>
      </c>
      <c r="H79" s="6">
        <f>H65*H67</f>
        <v/>
      </c>
    </row>
    <row r="80">
      <c r="B80" t="inlineStr">
        <is>
          <t>プロフォルマ売上原価</t>
        </is>
      </c>
      <c r="C80" s="6">
        <f>C78+C79</f>
        <v/>
      </c>
      <c r="D80" s="6">
        <f>D78+D79</f>
        <v/>
      </c>
      <c r="E80" s="6">
        <f>E78+E79</f>
        <v/>
      </c>
      <c r="F80" s="6">
        <f>F78+F79</f>
        <v/>
      </c>
      <c r="G80" s="6">
        <f>G78+G79</f>
        <v/>
      </c>
      <c r="H80" s="6">
        <f>H78+H79</f>
        <v/>
      </c>
    </row>
    <row r="81">
      <c r="B81" s="9" t="inlineStr">
        <is>
          <t>プロフォルマ売上総利益</t>
        </is>
      </c>
      <c r="C81" s="10">
        <f>C77+C80</f>
        <v/>
      </c>
      <c r="D81" s="10">
        <f>D77+D80</f>
        <v/>
      </c>
      <c r="E81" s="10">
        <f>E77+E80</f>
        <v/>
      </c>
      <c r="F81" s="10">
        <f>F77+F80</f>
        <v/>
      </c>
      <c r="G81" s="10">
        <f>G77+G80</f>
        <v/>
      </c>
      <c r="H81" s="10">
        <f>H77+H80</f>
        <v/>
      </c>
    </row>
    <row r="82">
      <c r="B82" t="inlineStr">
        <is>
          <t>プロフォルマ粗利率</t>
        </is>
      </c>
      <c r="C82" s="8">
        <f>C81/C77</f>
        <v/>
      </c>
      <c r="D82" s="8">
        <f>D81/D77</f>
        <v/>
      </c>
      <c r="E82" s="8">
        <f>E81/E77</f>
        <v/>
      </c>
      <c r="F82" s="8">
        <f>F81/F77</f>
        <v/>
      </c>
      <c r="G82" s="8">
        <f>G81/G77</f>
        <v/>
      </c>
      <c r="H82" s="8">
        <f>H81/H77</f>
        <v/>
      </c>
    </row>
    <row r="83">
      <c r="B83" t="inlineStr">
        <is>
          <t>スタンドアローン販売費及び一般管理費</t>
        </is>
      </c>
      <c r="C83" s="6">
        <f>C28</f>
        <v/>
      </c>
      <c r="D83" s="6">
        <f>D28</f>
        <v/>
      </c>
      <c r="E83" s="6">
        <f>E28</f>
        <v/>
      </c>
      <c r="F83" s="6">
        <f>F28</f>
        <v/>
      </c>
      <c r="G83" s="6">
        <f>G28</f>
        <v/>
      </c>
      <c r="H83" s="6">
        <f>H28</f>
        <v/>
      </c>
    </row>
    <row r="84">
      <c r="B84" t="inlineStr">
        <is>
          <t>拠点・管理コストシナジー（販管費削減）</t>
        </is>
      </c>
      <c r="C84" s="6">
        <f>C66*C67</f>
        <v/>
      </c>
      <c r="D84" s="6">
        <f>D66*D67</f>
        <v/>
      </c>
      <c r="E84" s="6">
        <f>E66*E67</f>
        <v/>
      </c>
      <c r="F84" s="6">
        <f>F66*F67</f>
        <v/>
      </c>
      <c r="G84" s="6">
        <f>G66*G67</f>
        <v/>
      </c>
      <c r="H84" s="6">
        <f>H66*H67</f>
        <v/>
      </c>
    </row>
    <row r="85">
      <c r="B85" t="inlineStr">
        <is>
          <t>100日プランPMI一時費用（一過性）</t>
        </is>
      </c>
      <c r="C85" s="6">
        <f>C72</f>
        <v/>
      </c>
      <c r="D85" s="6">
        <f>D72</f>
        <v/>
      </c>
      <c r="E85" s="6">
        <f>E72</f>
        <v/>
      </c>
      <c r="F85" s="6">
        <f>F72</f>
        <v/>
      </c>
      <c r="G85" s="6">
        <f>G72</f>
        <v/>
      </c>
      <c r="H85" s="6">
        <f>H72</f>
        <v/>
      </c>
    </row>
    <row r="86">
      <c r="B86" t="inlineStr">
        <is>
          <t>プロフォルマ販売費及び一般管理費</t>
        </is>
      </c>
      <c r="C86" s="6">
        <f>C83+C84+C85</f>
        <v/>
      </c>
      <c r="D86" s="6">
        <f>D83+D84+D85</f>
        <v/>
      </c>
      <c r="E86" s="6">
        <f>E83+E84+E85</f>
        <v/>
      </c>
      <c r="F86" s="6">
        <f>F83+F84+F85</f>
        <v/>
      </c>
      <c r="G86" s="6">
        <f>G83+G84+G85</f>
        <v/>
      </c>
      <c r="H86" s="6">
        <f>H83+H84+H85</f>
        <v/>
      </c>
    </row>
    <row r="87">
      <c r="B87" s="11" t="inlineStr">
        <is>
          <t>プロフォルマ営業利益（EBIT）</t>
        </is>
      </c>
      <c r="C87" s="12">
        <f>C81+C86</f>
        <v/>
      </c>
      <c r="D87" s="12">
        <f>D81+D86</f>
        <v/>
      </c>
      <c r="E87" s="12">
        <f>E81+E86</f>
        <v/>
      </c>
      <c r="F87" s="12">
        <f>F81+F86</f>
        <v/>
      </c>
      <c r="G87" s="12">
        <f>G81+G86</f>
        <v/>
      </c>
      <c r="H87" s="12">
        <f>H81+H86</f>
        <v/>
      </c>
    </row>
    <row r="88">
      <c r="B88" t="inlineStr">
        <is>
          <t>支払利息（デットスケジュール連動）</t>
        </is>
      </c>
      <c r="C88" s="6">
        <f>-C106*$C$9</f>
        <v/>
      </c>
      <c r="D88" s="6">
        <f>-D106*$C$9</f>
        <v/>
      </c>
      <c r="E88" s="6">
        <f>-E106*$C$9</f>
        <v/>
      </c>
      <c r="F88" s="6">
        <f>-F106*$C$9</f>
        <v/>
      </c>
      <c r="G88" s="6">
        <f>-G106*$C$9</f>
        <v/>
      </c>
      <c r="H88" s="6">
        <f>-H106*$C$9</f>
        <v/>
      </c>
    </row>
    <row r="89">
      <c r="B89" s="9" t="inlineStr">
        <is>
          <t>税引前当期純利益</t>
        </is>
      </c>
      <c r="C89" s="10">
        <f>C87+C88</f>
        <v/>
      </c>
      <c r="D89" s="10">
        <f>D87+D88</f>
        <v/>
      </c>
      <c r="E89" s="10">
        <f>E87+E88</f>
        <v/>
      </c>
      <c r="F89" s="10">
        <f>F87+F88</f>
        <v/>
      </c>
      <c r="G89" s="10">
        <f>G87+G88</f>
        <v/>
      </c>
      <c r="H89" s="10">
        <f>H87+H88</f>
        <v/>
      </c>
    </row>
    <row r="90">
      <c r="B90" t="inlineStr">
        <is>
          <t>法人税等</t>
        </is>
      </c>
      <c r="C90" s="6">
        <f>-MAX(0,C89*$C$8)</f>
        <v/>
      </c>
      <c r="D90" s="6">
        <f>-MAX(0,D89*$C$8)</f>
        <v/>
      </c>
      <c r="E90" s="6">
        <f>-MAX(0,E89*$C$8)</f>
        <v/>
      </c>
      <c r="F90" s="6">
        <f>-MAX(0,F89*$C$8)</f>
        <v/>
      </c>
      <c r="G90" s="6">
        <f>-MAX(0,G89*$C$8)</f>
        <v/>
      </c>
      <c r="H90" s="6">
        <f>-MAX(0,H89*$C$8)</f>
        <v/>
      </c>
    </row>
    <row r="91">
      <c r="B91" s="9" t="inlineStr">
        <is>
          <t>税引後当期純利益</t>
        </is>
      </c>
      <c r="C91" s="12">
        <f>C89+C90</f>
        <v/>
      </c>
      <c r="D91" s="12">
        <f>D89+D90</f>
        <v/>
      </c>
      <c r="E91" s="12">
        <f>E89+E90</f>
        <v/>
      </c>
      <c r="F91" s="12">
        <f>F89+F90</f>
        <v/>
      </c>
      <c r="G91" s="12">
        <f>G89+G90</f>
        <v/>
      </c>
      <c r="H91" s="12">
        <f>H89+H90</f>
        <v/>
      </c>
    </row>
    <row r="92">
      <c r="B92" t="inlineStr">
        <is>
          <t>減価償却費（足し戻し）</t>
        </is>
      </c>
      <c r="C92" s="6">
        <f>C30</f>
        <v/>
      </c>
      <c r="D92" s="6">
        <f>-D103</f>
        <v/>
      </c>
      <c r="E92" s="6">
        <f>-E103</f>
        <v/>
      </c>
      <c r="F92" s="6">
        <f>-F103</f>
        <v/>
      </c>
      <c r="G92" s="6">
        <f>-G103</f>
        <v/>
      </c>
      <c r="H92" s="6">
        <f>-H103</f>
        <v/>
      </c>
    </row>
    <row r="93">
      <c r="B93" s="11" t="inlineStr">
        <is>
          <t>プロフォルマEBITDA</t>
        </is>
      </c>
      <c r="C93" s="12">
        <f>C87+C92</f>
        <v/>
      </c>
      <c r="D93" s="12">
        <f>D87+D92</f>
        <v/>
      </c>
      <c r="E93" s="12">
        <f>E87+E92</f>
        <v/>
      </c>
      <c r="F93" s="12">
        <f>F87+F92</f>
        <v/>
      </c>
      <c r="G93" s="12">
        <f>G87+G92</f>
        <v/>
      </c>
      <c r="H93" s="12">
        <f>H87+H92</f>
        <v/>
      </c>
    </row>
    <row r="94">
      <c r="B94" t="inlineStr">
        <is>
          <t>プロフォルマEBITDAマージン</t>
        </is>
      </c>
      <c r="C94" s="8">
        <f>C93/C77</f>
        <v/>
      </c>
      <c r="D94" s="8">
        <f>D93/D77</f>
        <v/>
      </c>
      <c r="E94" s="8">
        <f>E93/E77</f>
        <v/>
      </c>
      <c r="F94" s="8">
        <f>F93/F77</f>
        <v/>
      </c>
      <c r="G94" s="8">
        <f>G93/G77</f>
        <v/>
      </c>
      <c r="H94" s="8">
        <f>H93/H77</f>
        <v/>
      </c>
    </row>
    <row r="96">
      <c r="A96" s="3" t="inlineStr">
        <is>
          <t>（７）取引・スケジュール</t>
        </is>
      </c>
      <c r="B96" s="3" t="inlineStr">
        <is>
          <t>買収取引構造・のれん算定・資産負債スケジュール</t>
        </is>
      </c>
      <c r="C96" s="4" t="inlineStr">
        <is>
          <t>2025A</t>
        </is>
      </c>
      <c r="D96" s="4" t="inlineStr">
        <is>
          <t>2026E</t>
        </is>
      </c>
      <c r="E96" s="4" t="inlineStr">
        <is>
          <t>2027E</t>
        </is>
      </c>
      <c r="F96" s="4" t="inlineStr">
        <is>
          <t>2028E</t>
        </is>
      </c>
      <c r="G96" s="4" t="inlineStr">
        <is>
          <t>2029E</t>
        </is>
      </c>
      <c r="H96" s="4" t="inlineStr">
        <is>
          <t>2030E</t>
        </is>
      </c>
    </row>
    <row r="97">
      <c r="B97" t="inlineStr">
        <is>
          <t>買収時企業価値（EV: 基準年EBITDA × 倍率）</t>
        </is>
      </c>
      <c r="C97" s="10">
        <f>C35*C98</f>
        <v/>
      </c>
    </row>
    <row r="98">
      <c r="B98" t="inlineStr">
        <is>
          <t>買収時想定EV/EBITDA倍率</t>
        </is>
      </c>
      <c r="C98" s="5" t="n">
        <v>7.5</v>
      </c>
    </row>
    <row r="99">
      <c r="B99" t="inlineStr">
        <is>
          <t>対象会社純資産簿価（買収時点）</t>
        </is>
      </c>
      <c r="C99" s="5" t="n">
        <v>2500</v>
      </c>
    </row>
    <row r="100">
      <c r="B100" s="14" t="inlineStr">
        <is>
          <t>発生のれん（Goodwill: EV − 純資産）</t>
        </is>
      </c>
      <c r="C100" s="12">
        <f>C97-C99</f>
        <v/>
      </c>
    </row>
    <row r="102">
      <c r="B102" t="inlineStr">
        <is>
          <t>【有形固定資産】期首PP&amp;E</t>
        </is>
      </c>
      <c r="D102" s="6">
        <f>C105</f>
        <v/>
      </c>
      <c r="E102" s="6">
        <f>D105</f>
        <v/>
      </c>
      <c r="F102" s="6">
        <f>E105</f>
        <v/>
      </c>
      <c r="G102" s="6">
        <f>F105</f>
        <v/>
      </c>
      <c r="H102" s="6">
        <f>G105</f>
        <v/>
      </c>
    </row>
    <row r="103">
      <c r="B103" t="inlineStr">
        <is>
          <t>【有形固定資産】減価償却費</t>
        </is>
      </c>
      <c r="D103" s="6">
        <f>-D102*D112</f>
        <v/>
      </c>
      <c r="E103" s="6">
        <f>-E102*E112</f>
        <v/>
      </c>
      <c r="F103" s="6">
        <f>-F102*F112</f>
        <v/>
      </c>
      <c r="G103" s="6">
        <f>-G102*G112</f>
        <v/>
      </c>
      <c r="H103" s="6">
        <f>-H102*H112</f>
        <v/>
      </c>
    </row>
    <row r="104">
      <c r="B104" t="inlineStr">
        <is>
          <t>【有形固定資産】設備投資Capex</t>
        </is>
      </c>
      <c r="D104" s="6">
        <f>-D102*D112</f>
        <v/>
      </c>
      <c r="E104" s="6">
        <f>-E102*E112</f>
        <v/>
      </c>
      <c r="F104" s="6">
        <f>-F102*F112</f>
        <v/>
      </c>
      <c r="G104" s="6">
        <f>-G102*G112</f>
        <v/>
      </c>
      <c r="H104" s="6">
        <f>-H102*H112</f>
        <v/>
      </c>
    </row>
    <row r="105">
      <c r="B105" s="13" t="inlineStr">
        <is>
          <t>【有形固定資産】期末PP&amp;E</t>
        </is>
      </c>
      <c r="C105" s="5" t="n">
        <v>2200</v>
      </c>
      <c r="D105" s="10">
        <f>D102-D104+D103</f>
        <v/>
      </c>
      <c r="E105" s="10">
        <f>E102-E104+E103</f>
        <v/>
      </c>
      <c r="F105" s="10">
        <f>F102-F104+F103</f>
        <v/>
      </c>
      <c r="G105" s="10">
        <f>G102-G104+G103</f>
        <v/>
      </c>
      <c r="H105" s="10">
        <f>H102-H104+H103</f>
        <v/>
      </c>
    </row>
    <row r="106">
      <c r="B106" t="inlineStr">
        <is>
          <t>【借入金】期首借入金残高</t>
        </is>
      </c>
      <c r="D106" s="6">
        <f>C108</f>
        <v/>
      </c>
      <c r="E106" s="6">
        <f>D108</f>
        <v/>
      </c>
      <c r="F106" s="6">
        <f>E108</f>
        <v/>
      </c>
      <c r="G106" s="6">
        <f>F108</f>
        <v/>
      </c>
      <c r="H106" s="6">
        <f>G108</f>
        <v/>
      </c>
    </row>
    <row r="107">
      <c r="B107" t="inlineStr">
        <is>
          <t>【借入金】約定返済額（マイナス）</t>
        </is>
      </c>
      <c r="D107" s="5" t="n">
        <v>-150</v>
      </c>
      <c r="E107" s="5" t="n">
        <v>-150</v>
      </c>
      <c r="F107" s="5" t="n">
        <v>-150</v>
      </c>
      <c r="G107" s="5" t="n">
        <v>-150</v>
      </c>
      <c r="H107" s="5" t="n">
        <v>-150</v>
      </c>
    </row>
    <row r="108">
      <c r="B108" s="13" t="inlineStr">
        <is>
          <t>【借入金】期末借入金残高</t>
        </is>
      </c>
      <c r="C108" s="5" t="n">
        <v>1500</v>
      </c>
      <c r="D108" s="10">
        <f>D106+D107</f>
        <v/>
      </c>
      <c r="E108" s="10">
        <f>E106+E107</f>
        <v/>
      </c>
      <c r="F108" s="10">
        <f>F106+F107</f>
        <v/>
      </c>
      <c r="G108" s="10">
        <f>G106+G107</f>
        <v/>
      </c>
      <c r="H108" s="10">
        <f>H106+H107</f>
        <v/>
      </c>
    </row>
    <row r="109">
      <c r="B109" t="inlineStr">
        <is>
          <t>【運転資本】売掛金</t>
        </is>
      </c>
      <c r="C109" s="6">
        <f>C77*C113</f>
        <v/>
      </c>
      <c r="D109" s="6">
        <f>D77*D113</f>
        <v/>
      </c>
      <c r="E109" s="6">
        <f>E77*E113</f>
        <v/>
      </c>
      <c r="F109" s="6">
        <f>F77*F113</f>
        <v/>
      </c>
      <c r="G109" s="6">
        <f>G77*G113</f>
        <v/>
      </c>
      <c r="H109" s="6">
        <f>H77*H113</f>
        <v/>
      </c>
    </row>
    <row r="110">
      <c r="B110" t="inlineStr">
        <is>
          <t>【運転資本】買掛金</t>
        </is>
      </c>
      <c r="C110" s="6">
        <f>-C80*C114</f>
        <v/>
      </c>
      <c r="D110" s="6">
        <f>-D80*D114</f>
        <v/>
      </c>
      <c r="E110" s="6">
        <f>-E80*E114</f>
        <v/>
      </c>
      <c r="F110" s="6">
        <f>-F80*F114</f>
        <v/>
      </c>
      <c r="G110" s="6">
        <f>-G80*G114</f>
        <v/>
      </c>
      <c r="H110" s="6">
        <f>-H80*H114</f>
        <v/>
      </c>
    </row>
    <row r="111">
      <c r="B111" s="13" t="inlineStr">
        <is>
          <t>【運転資本】正味運転資本（OWC）</t>
        </is>
      </c>
      <c r="C111" s="10">
        <f>C109-C110</f>
        <v/>
      </c>
      <c r="D111" s="10">
        <f>D109-D110</f>
        <v/>
      </c>
      <c r="E111" s="10">
        <f>E109-E110</f>
        <v/>
      </c>
      <c r="F111" s="10">
        <f>F109-F110</f>
        <v/>
      </c>
      <c r="G111" s="10">
        <f>G109-G110</f>
        <v/>
      </c>
      <c r="H111" s="10">
        <f>H109-H110</f>
        <v/>
      </c>
    </row>
    <row r="112">
      <c r="B112" t="inlineStr">
        <is>
          <t>設備投資・減価償却率（Capex Ratio）</t>
        </is>
      </c>
      <c r="C112" s="7" t="n">
        <v>0.1</v>
      </c>
      <c r="D112" s="7" t="n">
        <v>0.1</v>
      </c>
      <c r="E112" s="7" t="n">
        <v>0.1</v>
      </c>
      <c r="F112" s="7" t="n">
        <v>0.1</v>
      </c>
      <c r="G112" s="7" t="n">
        <v>0.1</v>
      </c>
      <c r="H112" s="7" t="n">
        <v>0.1</v>
      </c>
    </row>
    <row r="113">
      <c r="B113" t="inlineStr">
        <is>
          <t>売掛金対売上比率</t>
        </is>
      </c>
      <c r="C113" s="7" t="n">
        <v>0.1</v>
      </c>
      <c r="D113" s="7" t="n">
        <v>0.1</v>
      </c>
      <c r="E113" s="7" t="n">
        <v>0.1</v>
      </c>
      <c r="F113" s="7" t="n">
        <v>0.1</v>
      </c>
      <c r="G113" s="7" t="n">
        <v>0.1</v>
      </c>
      <c r="H113" s="7" t="n">
        <v>0.1</v>
      </c>
    </row>
    <row r="114">
      <c r="B114" t="inlineStr">
        <is>
          <t>買掛金対原価比率</t>
        </is>
      </c>
      <c r="C114" s="7" t="n">
        <v>0.1</v>
      </c>
      <c r="D114" s="7" t="n">
        <v>0.1</v>
      </c>
      <c r="E114" s="7" t="n">
        <v>0.1</v>
      </c>
      <c r="F114" s="7" t="n">
        <v>0.1</v>
      </c>
      <c r="G114" s="7" t="n">
        <v>0.1</v>
      </c>
      <c r="H114" s="7" t="n">
        <v>0.1</v>
      </c>
    </row>
    <row r="116">
      <c r="A116" s="3" t="inlineStr">
        <is>
          <t>（８）貸借対照表</t>
        </is>
      </c>
      <c r="B116" s="3" t="inlineStr">
        <is>
          <t>対象会社 プロフォルマ貸借対照表（BS）</t>
        </is>
      </c>
      <c r="C116" s="4" t="inlineStr">
        <is>
          <t>2025A</t>
        </is>
      </c>
      <c r="D116" s="4" t="inlineStr">
        <is>
          <t>2026E</t>
        </is>
      </c>
      <c r="E116" s="4" t="inlineStr">
        <is>
          <t>2027E</t>
        </is>
      </c>
      <c r="F116" s="4" t="inlineStr">
        <is>
          <t>2028E</t>
        </is>
      </c>
      <c r="G116" s="4" t="inlineStr">
        <is>
          <t>2029E</t>
        </is>
      </c>
      <c r="H116" s="4" t="inlineStr">
        <is>
          <t>2030E</t>
        </is>
      </c>
    </row>
    <row r="117">
      <c r="B117" t="inlineStr">
        <is>
          <t>現預金（CF期末残高連動）</t>
        </is>
      </c>
      <c r="C117" s="6">
        <f>C138</f>
        <v/>
      </c>
      <c r="D117" s="6">
        <f>D138</f>
        <v/>
      </c>
      <c r="E117" s="6">
        <f>E138</f>
        <v/>
      </c>
      <c r="F117" s="6">
        <f>F138</f>
        <v/>
      </c>
      <c r="G117" s="6">
        <f>G138</f>
        <v/>
      </c>
      <c r="H117" s="6">
        <f>H138</f>
        <v/>
      </c>
    </row>
    <row r="118">
      <c r="B118" t="inlineStr">
        <is>
          <t>売掛金</t>
        </is>
      </c>
      <c r="C118" s="6">
        <f>C109</f>
        <v/>
      </c>
      <c r="D118" s="6">
        <f>D109</f>
        <v/>
      </c>
      <c r="E118" s="6">
        <f>E109</f>
        <v/>
      </c>
      <c r="F118" s="6">
        <f>F109</f>
        <v/>
      </c>
      <c r="G118" s="6">
        <f>G109</f>
        <v/>
      </c>
      <c r="H118" s="6">
        <f>H109</f>
        <v/>
      </c>
    </row>
    <row r="119">
      <c r="B119" t="inlineStr">
        <is>
          <t>有形固定資産（PP&amp;E）</t>
        </is>
      </c>
      <c r="C119" s="6">
        <f>C105</f>
        <v/>
      </c>
      <c r="D119" s="6">
        <f>D105</f>
        <v/>
      </c>
      <c r="E119" s="6">
        <f>E105</f>
        <v/>
      </c>
      <c r="F119" s="6">
        <f>F105</f>
        <v/>
      </c>
      <c r="G119" s="6">
        <f>G105</f>
        <v/>
      </c>
      <c r="H119" s="6">
        <f>H105</f>
        <v/>
      </c>
    </row>
    <row r="120">
      <c r="B120" t="inlineStr">
        <is>
          <t>のれん（Goodwill）</t>
        </is>
      </c>
      <c r="C120" s="6">
        <f>$C$100</f>
        <v/>
      </c>
      <c r="D120" s="6">
        <f>IF($C$5=1,MAX(0,C120-($C$100/$C$7)),$C$100)</f>
        <v/>
      </c>
      <c r="E120" s="6">
        <f>IF($C$5=1,MAX(0,D120-($C$100/$C$7)),$C$100)</f>
        <v/>
      </c>
      <c r="F120" s="6">
        <f>IF($C$5=1,MAX(0,E120-($C$100/$C$7)),$C$100)</f>
        <v/>
      </c>
      <c r="G120" s="6">
        <f>IF($C$5=1,MAX(0,F120-($C$100/$C$7)),$C$100)</f>
        <v/>
      </c>
      <c r="H120" s="6">
        <f>IF($C$5=1,MAX(0,G120-($C$100/$C$7)),$C$100)</f>
        <v/>
      </c>
    </row>
    <row r="121">
      <c r="B121" s="9" t="inlineStr">
        <is>
          <t>資産合計</t>
        </is>
      </c>
      <c r="C121" s="12">
        <f>SUM(C117:C120)</f>
        <v/>
      </c>
      <c r="D121" s="12">
        <f>SUM(D117:D120)</f>
        <v/>
      </c>
      <c r="E121" s="12">
        <f>SUM(E117:E120)</f>
        <v/>
      </c>
      <c r="F121" s="12">
        <f>SUM(F117:F120)</f>
        <v/>
      </c>
      <c r="G121" s="12">
        <f>SUM(G117:G120)</f>
        <v/>
      </c>
      <c r="H121" s="12">
        <f>SUM(H117:H120)</f>
        <v/>
      </c>
    </row>
    <row r="122">
      <c r="B122" t="inlineStr">
        <is>
          <t>買掛金</t>
        </is>
      </c>
      <c r="C122" s="6">
        <f>C110</f>
        <v/>
      </c>
      <c r="D122" s="6">
        <f>D110</f>
        <v/>
      </c>
      <c r="E122" s="6">
        <f>E110</f>
        <v/>
      </c>
      <c r="F122" s="6">
        <f>F110</f>
        <v/>
      </c>
      <c r="G122" s="6">
        <f>G110</f>
        <v/>
      </c>
      <c r="H122" s="6">
        <f>H110</f>
        <v/>
      </c>
    </row>
    <row r="123">
      <c r="B123" t="inlineStr">
        <is>
          <t>借入金</t>
        </is>
      </c>
      <c r="C123" s="6">
        <f>C108</f>
        <v/>
      </c>
      <c r="D123" s="6">
        <f>D108</f>
        <v/>
      </c>
      <c r="E123" s="6">
        <f>E108</f>
        <v/>
      </c>
      <c r="F123" s="6">
        <f>F108</f>
        <v/>
      </c>
      <c r="G123" s="6">
        <f>G108</f>
        <v/>
      </c>
      <c r="H123" s="6">
        <f>H108</f>
        <v/>
      </c>
    </row>
    <row r="124">
      <c r="B124" t="inlineStr">
        <is>
          <t>資本金（スポンサー出資）</t>
        </is>
      </c>
      <c r="C124" s="5" t="n">
        <v>14145</v>
      </c>
      <c r="D124" s="6">
        <f>C124</f>
        <v/>
      </c>
      <c r="E124" s="6">
        <f>C124</f>
        <v/>
      </c>
      <c r="F124" s="6">
        <f>C124</f>
        <v/>
      </c>
      <c r="G124" s="6">
        <f>C124</f>
        <v/>
      </c>
      <c r="H124" s="6">
        <f>C124</f>
        <v/>
      </c>
    </row>
    <row r="125">
      <c r="B125" t="inlineStr">
        <is>
          <t>利益剰余金</t>
        </is>
      </c>
      <c r="C125" s="5" t="n">
        <v>0</v>
      </c>
      <c r="D125" s="6">
        <f>C125+D91-IF($C$5=1,$C$100/$C$7,0)</f>
        <v/>
      </c>
      <c r="E125" s="6">
        <f>D125+E91-IF($C$5=1,$C$100/$C$7,0)</f>
        <v/>
      </c>
      <c r="F125" s="6">
        <f>E125+F91-IF($C$5=1,$C$100/$C$7,0)</f>
        <v/>
      </c>
      <c r="G125" s="6">
        <f>F125+G91-IF($C$5=1,$C$100/$C$7,0)</f>
        <v/>
      </c>
      <c r="H125" s="6">
        <f>G125+H91-IF($C$5=1,$C$100/$C$7,0)</f>
        <v/>
      </c>
    </row>
    <row r="126">
      <c r="B126" s="9" t="inlineStr">
        <is>
          <t>負債・純資産合計</t>
        </is>
      </c>
      <c r="C126" s="12">
        <f>C122+C123+C124+C125</f>
        <v/>
      </c>
      <c r="D126" s="12">
        <f>D122+D123+D124+D125</f>
        <v/>
      </c>
      <c r="E126" s="12">
        <f>E122+E123+E124+E125</f>
        <v/>
      </c>
      <c r="F126" s="12">
        <f>F122+F123+F124+F125</f>
        <v/>
      </c>
      <c r="G126" s="12">
        <f>G122+G123+G124+G125</f>
        <v/>
      </c>
      <c r="H126" s="12">
        <f>H122+H123+H124+H125</f>
        <v/>
      </c>
    </row>
    <row r="127">
      <c r="B127" s="16" t="inlineStr">
        <is>
          <t>バランスチェック（差額＝0検証）</t>
        </is>
      </c>
      <c r="C127" s="6">
        <f>C121-C126</f>
        <v/>
      </c>
      <c r="D127" s="6">
        <f>D121-D126</f>
        <v/>
      </c>
      <c r="E127" s="6">
        <f>E121-E126</f>
        <v/>
      </c>
      <c r="F127" s="6">
        <f>F121-F126</f>
        <v/>
      </c>
      <c r="G127" s="6">
        <f>G121-G126</f>
        <v/>
      </c>
      <c r="H127" s="6">
        <f>H121-H126</f>
        <v/>
      </c>
    </row>
    <row r="129">
      <c r="A129" s="3" t="inlineStr">
        <is>
          <t>（９）キャッシュフロー</t>
        </is>
      </c>
      <c r="B129" s="3" t="inlineStr">
        <is>
          <t>対象会社 キャッシュフロー計算書（間接法CF）</t>
        </is>
      </c>
      <c r="C129" s="4" t="inlineStr">
        <is>
          <t>2025A</t>
        </is>
      </c>
      <c r="D129" s="4" t="inlineStr">
        <is>
          <t>2026E</t>
        </is>
      </c>
      <c r="E129" s="4" t="inlineStr">
        <is>
          <t>2027E</t>
        </is>
      </c>
      <c r="F129" s="4" t="inlineStr">
        <is>
          <t>2028E</t>
        </is>
      </c>
      <c r="G129" s="4" t="inlineStr">
        <is>
          <t>2029E</t>
        </is>
      </c>
      <c r="H129" s="4" t="inlineStr">
        <is>
          <t>2030E</t>
        </is>
      </c>
    </row>
    <row r="130">
      <c r="B130" t="inlineStr">
        <is>
          <t>税引後当期純利益</t>
        </is>
      </c>
      <c r="D130" s="6">
        <f>D91</f>
        <v/>
      </c>
      <c r="E130" s="6">
        <f>E91</f>
        <v/>
      </c>
      <c r="F130" s="6">
        <f>F91</f>
        <v/>
      </c>
      <c r="G130" s="6">
        <f>G91</f>
        <v/>
      </c>
      <c r="H130" s="6">
        <f>H91</f>
        <v/>
      </c>
    </row>
    <row r="131">
      <c r="B131" t="inlineStr">
        <is>
          <t>減価償却費（足し戻し）</t>
        </is>
      </c>
      <c r="D131" s="6">
        <f>D92</f>
        <v/>
      </c>
      <c r="E131" s="6">
        <f>E92</f>
        <v/>
      </c>
      <c r="F131" s="6">
        <f>F92</f>
        <v/>
      </c>
      <c r="G131" s="6">
        <f>G92</f>
        <v/>
      </c>
      <c r="H131" s="6">
        <f>H92</f>
        <v/>
      </c>
    </row>
    <row r="132">
      <c r="B132" t="inlineStr">
        <is>
          <t>Δ正味運転資本（前期−当期）</t>
        </is>
      </c>
      <c r="D132" s="6">
        <f>C111-D111</f>
        <v/>
      </c>
      <c r="E132" s="6">
        <f>D111-E111</f>
        <v/>
      </c>
      <c r="F132" s="6">
        <f>E111-F111</f>
        <v/>
      </c>
      <c r="G132" s="6">
        <f>F111-G111</f>
        <v/>
      </c>
      <c r="H132" s="6">
        <f>G111-H111</f>
        <v/>
      </c>
    </row>
    <row r="133">
      <c r="B133" s="9" t="inlineStr">
        <is>
          <t>営業活動によるキャッシュフロー</t>
        </is>
      </c>
      <c r="D133" s="10">
        <f>SUM(D130:D132)</f>
        <v/>
      </c>
      <c r="E133" s="10">
        <f>SUM(E130:E132)</f>
        <v/>
      </c>
      <c r="F133" s="10">
        <f>SUM(F130:F132)</f>
        <v/>
      </c>
      <c r="G133" s="10">
        <f>SUM(G130:G132)</f>
        <v/>
      </c>
      <c r="H133" s="10">
        <f>SUM(H130:H132)</f>
        <v/>
      </c>
    </row>
    <row r="134">
      <c r="B134" t="inlineStr">
        <is>
          <t>設備投資額（Capex・マイナス）</t>
        </is>
      </c>
      <c r="D134" s="6">
        <f>D104</f>
        <v/>
      </c>
      <c r="E134" s="6">
        <f>E104</f>
        <v/>
      </c>
      <c r="F134" s="6">
        <f>F104</f>
        <v/>
      </c>
      <c r="G134" s="6">
        <f>G104</f>
        <v/>
      </c>
      <c r="H134" s="6">
        <f>H104</f>
        <v/>
      </c>
    </row>
    <row r="135">
      <c r="B135" t="inlineStr">
        <is>
          <t>借入金約定返済額（マイナス）</t>
        </is>
      </c>
      <c r="D135" s="6">
        <f>D107</f>
        <v/>
      </c>
      <c r="E135" s="6">
        <f>E107</f>
        <v/>
      </c>
      <c r="F135" s="6">
        <f>F107</f>
        <v/>
      </c>
      <c r="G135" s="6">
        <f>G107</f>
        <v/>
      </c>
      <c r="H135" s="6">
        <f>H107</f>
        <v/>
      </c>
    </row>
    <row r="136">
      <c r="B136" s="9" t="inlineStr">
        <is>
          <t>当期純キャッシュ増減（Net CF）</t>
        </is>
      </c>
      <c r="D136" s="12">
        <f>D133+D134+D135</f>
        <v/>
      </c>
      <c r="E136" s="12">
        <f>E133+E134+E135</f>
        <v/>
      </c>
      <c r="F136" s="12">
        <f>F133+F134+F135</f>
        <v/>
      </c>
      <c r="G136" s="12">
        <f>G133+G134+G135</f>
        <v/>
      </c>
      <c r="H136" s="12">
        <f>H133+H134+H135</f>
        <v/>
      </c>
    </row>
    <row r="137">
      <c r="B137" t="inlineStr">
        <is>
          <t>期首現預金残高</t>
        </is>
      </c>
      <c r="D137" s="6">
        <f>C138</f>
        <v/>
      </c>
      <c r="E137" s="6">
        <f>D138</f>
        <v/>
      </c>
      <c r="F137" s="6">
        <f>E138</f>
        <v/>
      </c>
      <c r="G137" s="6">
        <f>F138</f>
        <v/>
      </c>
      <c r="H137" s="6">
        <f>G138</f>
        <v/>
      </c>
    </row>
    <row r="138">
      <c r="B138" s="9" t="inlineStr">
        <is>
          <t>期末現預金残高</t>
        </is>
      </c>
      <c r="C138" s="5" t="n">
        <v>1000</v>
      </c>
      <c r="D138" s="12">
        <f>D137+D136</f>
        <v/>
      </c>
      <c r="E138" s="12">
        <f>E137+E136</f>
        <v/>
      </c>
      <c r="F138" s="12">
        <f>F137+F136</f>
        <v/>
      </c>
      <c r="G138" s="12">
        <f>G137+G136</f>
        <v/>
      </c>
      <c r="H138" s="12">
        <f>H137+H136</f>
        <v/>
      </c>
    </row>
    <row r="140">
      <c r="A140" s="3" t="inlineStr">
        <is>
          <t>（１０）連結合算P/L</t>
        </is>
      </c>
      <c r="B140" s="3" t="inlineStr">
        <is>
          <t>買い手＋対象会社 連結合算P/L＆EPS希薄化分析</t>
        </is>
      </c>
      <c r="C140" s="4" t="inlineStr">
        <is>
          <t>2025A</t>
        </is>
      </c>
      <c r="D140" s="4" t="inlineStr">
        <is>
          <t>2026E</t>
        </is>
      </c>
      <c r="E140" s="4" t="inlineStr">
        <is>
          <t>2027E</t>
        </is>
      </c>
      <c r="F140" s="4" t="inlineStr">
        <is>
          <t>2028E</t>
        </is>
      </c>
      <c r="G140" s="4" t="inlineStr">
        <is>
          <t>2029E</t>
        </is>
      </c>
      <c r="H140" s="4" t="inlineStr">
        <is>
          <t>2030E</t>
        </is>
      </c>
    </row>
    <row r="141">
      <c r="B141" t="inlineStr">
        <is>
          <t>買い手既存 営業利益（スタンドアローン）</t>
        </is>
      </c>
      <c r="C141" s="5" t="n">
        <v>8000</v>
      </c>
      <c r="D141" s="5" t="n">
        <v>8300</v>
      </c>
      <c r="E141" s="5" t="n">
        <v>8600</v>
      </c>
      <c r="F141" s="5" t="n">
        <v>8900</v>
      </c>
      <c r="G141" s="5" t="n">
        <v>9200</v>
      </c>
      <c r="H141" s="5" t="n">
        <v>9500</v>
      </c>
    </row>
    <row r="142">
      <c r="B142" t="inlineStr">
        <is>
          <t>対象会社 プロフォルマ営業利益</t>
        </is>
      </c>
      <c r="C142" s="6">
        <f>C87</f>
        <v/>
      </c>
      <c r="D142" s="6">
        <f>D87</f>
        <v/>
      </c>
      <c r="E142" s="6">
        <f>E87</f>
        <v/>
      </c>
      <c r="F142" s="6">
        <f>F87</f>
        <v/>
      </c>
      <c r="G142" s="6">
        <f>G87</f>
        <v/>
      </c>
      <c r="H142" s="6">
        <f>H87</f>
        <v/>
      </c>
    </row>
    <row r="143">
      <c r="B143" t="inlineStr">
        <is>
          <t>のれん償却費（J-GAAP時のみ営業費用加算）</t>
        </is>
      </c>
      <c r="C143" s="6">
        <f>IF($C$5=1,-$C$100/$C$7,0)</f>
        <v/>
      </c>
      <c r="D143" s="6">
        <f>IF($C$5=1,-$C$100/$C$7,0)</f>
        <v/>
      </c>
      <c r="E143" s="6">
        <f>IF($C$5=1,-$C$100/$C$7,0)</f>
        <v/>
      </c>
      <c r="F143" s="6">
        <f>IF($C$5=1,-$C$100/$C$7,0)</f>
        <v/>
      </c>
      <c r="G143" s="6">
        <f>IF($C$5=1,-$C$100/$C$7,0)</f>
        <v/>
      </c>
      <c r="H143" s="6">
        <f>IF($C$5=1,-$C$100/$C$7,0)</f>
        <v/>
      </c>
    </row>
    <row r="144">
      <c r="B144" s="11" t="inlineStr">
        <is>
          <t>連結プロフォルマ営業利益</t>
        </is>
      </c>
      <c r="C144" s="12">
        <f>C141+C142+C143</f>
        <v/>
      </c>
      <c r="D144" s="12">
        <f>D141+D142+D143</f>
        <v/>
      </c>
      <c r="E144" s="12">
        <f>E141+E142+E143</f>
        <v/>
      </c>
      <c r="F144" s="12">
        <f>F141+F142+F143</f>
        <v/>
      </c>
      <c r="G144" s="12">
        <f>G141+G142+G143</f>
        <v/>
      </c>
      <c r="H144" s="12">
        <f>H141+H142+H143</f>
        <v/>
      </c>
    </row>
    <row r="145">
      <c r="B145" s="13" t="inlineStr">
        <is>
          <t>営業利益 増益率（対スタンドアローン）</t>
        </is>
      </c>
      <c r="C145" s="8">
        <f>(C144-C141)/C141</f>
        <v/>
      </c>
      <c r="D145" s="8">
        <f>(D144-D141)/D141</f>
        <v/>
      </c>
      <c r="E145" s="8">
        <f>(E144-E141)/E141</f>
        <v/>
      </c>
      <c r="F145" s="8">
        <f>(F144-F141)/F141</f>
        <v/>
      </c>
      <c r="G145" s="8">
        <f>(G144-G141)/G141</f>
        <v/>
      </c>
      <c r="H145" s="8">
        <f>(H144-H141)/H141</f>
        <v/>
      </c>
    </row>
    <row r="146">
      <c r="B146" t="inlineStr">
        <is>
          <t>買い手既存 当期純利益（スタンドアローン）</t>
        </is>
      </c>
      <c r="C146" s="6">
        <f>C11</f>
        <v/>
      </c>
      <c r="D146" s="6">
        <f>D11</f>
        <v/>
      </c>
      <c r="E146" s="6">
        <f>E11</f>
        <v/>
      </c>
      <c r="F146" s="6">
        <f>F11</f>
        <v/>
      </c>
      <c r="G146" s="6">
        <f>G11</f>
        <v/>
      </c>
      <c r="H146" s="6">
        <f>H11</f>
        <v/>
      </c>
    </row>
    <row r="147">
      <c r="B147" t="inlineStr">
        <is>
          <t>対象会社 プロフォルマ当期純利益</t>
        </is>
      </c>
      <c r="C147" s="6">
        <f>C91</f>
        <v/>
      </c>
      <c r="D147" s="6">
        <f>D91</f>
        <v/>
      </c>
      <c r="E147" s="6">
        <f>E91</f>
        <v/>
      </c>
      <c r="F147" s="6">
        <f>F91</f>
        <v/>
      </c>
      <c r="G147" s="6">
        <f>G91</f>
        <v/>
      </c>
      <c r="H147" s="6">
        <f>H91</f>
        <v/>
      </c>
    </row>
    <row r="148">
      <c r="B148" t="inlineStr">
        <is>
          <t>のれん償却費（純利益インパクト）</t>
        </is>
      </c>
      <c r="C148" s="6">
        <f>C143</f>
        <v/>
      </c>
      <c r="D148" s="6">
        <f>D143</f>
        <v/>
      </c>
      <c r="E148" s="6">
        <f>E143</f>
        <v/>
      </c>
      <c r="F148" s="6">
        <f>F143</f>
        <v/>
      </c>
      <c r="G148" s="6">
        <f>G143</f>
        <v/>
      </c>
      <c r="H148" s="6">
        <f>H143</f>
        <v/>
      </c>
    </row>
    <row r="149">
      <c r="B149" s="11" t="inlineStr">
        <is>
          <t>連結プロフォルマ当期純利益</t>
        </is>
      </c>
      <c r="C149" s="12">
        <f>C146+C147+C148</f>
        <v/>
      </c>
      <c r="D149" s="12">
        <f>D146+D147+D148</f>
        <v/>
      </c>
      <c r="E149" s="12">
        <f>E146+E147+E148</f>
        <v/>
      </c>
      <c r="F149" s="12">
        <f>F146+F147+F148</f>
        <v/>
      </c>
      <c r="G149" s="12">
        <f>G146+G147+G148</f>
        <v/>
      </c>
      <c r="H149" s="12">
        <f>H146+H147+H148</f>
        <v/>
      </c>
    </row>
    <row r="150">
      <c r="B150" s="9" t="inlineStr">
        <is>
          <t>連結プロフォルマEPS（円/株）</t>
        </is>
      </c>
      <c r="C150" s="6">
        <f>C149/$C$10</f>
        <v/>
      </c>
      <c r="D150" s="6">
        <f>D149/$C$10</f>
        <v/>
      </c>
      <c r="E150" s="6">
        <f>E149/$C$10</f>
        <v/>
      </c>
      <c r="F150" s="6">
        <f>F149/$C$10</f>
        <v/>
      </c>
      <c r="G150" s="6">
        <f>G149/$C$10</f>
        <v/>
      </c>
      <c r="H150" s="6">
        <f>H149/$C$10</f>
        <v/>
      </c>
    </row>
    <row r="151">
      <c r="B151" s="11" t="inlineStr">
        <is>
          <t>EPS増益/希薄化率（Accretion / Dilution）</t>
        </is>
      </c>
      <c r="C151" s="8">
        <f>(C150-C12)/C12</f>
        <v/>
      </c>
      <c r="D151" s="8">
        <f>(D150-D12)/D12</f>
        <v/>
      </c>
      <c r="E151" s="8">
        <f>(E150-E12)/E12</f>
        <v/>
      </c>
      <c r="F151" s="8">
        <f>(F150-F12)/F12</f>
        <v/>
      </c>
      <c r="G151" s="8">
        <f>(G150-G12)/G12</f>
        <v/>
      </c>
      <c r="H151" s="8">
        <f>(H150-H12)/H12</f>
        <v/>
      </c>
    </row>
    <row r="153">
      <c r="A153" s="3" t="inlineStr">
        <is>
          <t>（１１）リターン試算</t>
        </is>
      </c>
      <c r="B153" s="3" t="inlineStr">
        <is>
          <t>5年後Exit試算および投資リターン（MoIC / IRR）</t>
        </is>
      </c>
      <c r="C153" s="4" t="inlineStr"/>
      <c r="D153" s="4" t="inlineStr"/>
      <c r="E153" s="4" t="inlineStr"/>
      <c r="F153" s="4" t="inlineStr"/>
      <c r="G153" s="4" t="inlineStr"/>
      <c r="H153" s="4" t="inlineStr"/>
    </row>
    <row r="154">
      <c r="B154" t="inlineStr">
        <is>
          <t>5年後対象会社プロフォルマEBITDA（2030E）</t>
        </is>
      </c>
      <c r="D154" s="6">
        <f>$H$93</f>
        <v/>
      </c>
    </row>
    <row r="155">
      <c r="B155" t="inlineStr">
        <is>
          <t>想定Exit倍率（EV/EBITDA）</t>
        </is>
      </c>
      <c r="D155" s="5" t="n">
        <v>8</v>
      </c>
    </row>
    <row r="156">
      <c r="B156" s="9" t="inlineStr">
        <is>
          <t>Exit時想定企業価値（EV）</t>
        </is>
      </c>
      <c r="D156" s="10">
        <f>D154*D155</f>
        <v/>
      </c>
    </row>
    <row r="157">
      <c r="B157" t="inlineStr">
        <is>
          <t>Exit時純有利子負債（借入金−現預金）</t>
        </is>
      </c>
      <c r="D157" s="6">
        <f>H123-H117</f>
        <v/>
      </c>
    </row>
    <row r="158">
      <c r="B158" s="11" t="inlineStr">
        <is>
          <t>Exit時株式価値（Equity Proceeds）</t>
        </is>
      </c>
      <c r="D158" s="12">
        <f>D156-D157</f>
        <v/>
      </c>
    </row>
    <row r="159">
      <c r="B159" t="inlineStr">
        <is>
          <t>買収時スポンサー出資額（Entry Equity）</t>
        </is>
      </c>
      <c r="D159" s="5" t="n">
        <v>1800</v>
      </c>
    </row>
    <row r="160">
      <c r="B160" s="11" t="inlineStr">
        <is>
          <t>投下資本倍率（MoIC）</t>
        </is>
      </c>
      <c r="D160" s="17">
        <f>D158/D159</f>
        <v/>
      </c>
    </row>
    <row r="161">
      <c r="B161" t="inlineStr">
        <is>
          <t>投資保有期間（年数）</t>
        </is>
      </c>
      <c r="D161" s="5" t="n">
        <v>5</v>
      </c>
    </row>
    <row r="162">
      <c r="B162" s="11" t="inlineStr">
        <is>
          <t>内部収益率（IRR）</t>
        </is>
      </c>
      <c r="D162" s="8">
        <f>(D160)^(1/D161)-1</f>
        <v/>
      </c>
    </row>
    <row r="164">
      <c r="A164" s="3" t="inlineStr">
        <is>
          <t>（１２）チェック</t>
        </is>
      </c>
      <c r="B164" s="3" t="inlineStr">
        <is>
          <t>モデル整合性チェックサマリ</t>
        </is>
      </c>
      <c r="C164" s="4" t="inlineStr"/>
      <c r="D164" s="4" t="inlineStr"/>
      <c r="E164" s="4" t="inlineStr"/>
      <c r="F164" s="4" t="inlineStr"/>
      <c r="G164" s="4" t="inlineStr"/>
      <c r="H164" s="4" t="inlineStr"/>
    </row>
    <row r="165">
      <c r="B165" t="inlineStr">
        <is>
          <t>BS貸借一致チェック（全期間差額＝0）</t>
        </is>
      </c>
      <c r="D165" s="6">
        <f>IF(MAX(ABS(C127:H127))&lt;1,"OK","ERROR")</f>
        <v/>
      </c>
    </row>
    <row r="166">
      <c r="B166" t="inlineStr">
        <is>
          <t>会計基準適用ステータス</t>
        </is>
      </c>
      <c r="D166" s="6">
        <f>IF($C$5=1,"J-GAAP (のれん20年規則償却反映)","IFRS (のれん非償却)")</f>
        <v/>
      </c>
    </row>
    <row r="167">
      <c r="B167" s="9" t="inlineStr">
        <is>
          <t>総合判定</t>
        </is>
      </c>
      <c r="D167" s="18">
        <f>IF(D165="OK","完全合格 (PERFECT PASS)","要修正 (ERROR)")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2026-10-05T20:59:21Z</dcterms:created>
  <dcterms:modified xsi:type="dcterms:W3CDTF">2026-10-05T20:59:21Z</dcterms:modified>
</cp:coreProperties>
</file>