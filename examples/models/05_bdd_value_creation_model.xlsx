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b val="1"/>
      <sz val="10"/>
    </font>
    <font>
      <name val="Meiryo UI"/>
      <color rgb="000000FF"/>
      <sz val="10"/>
    </font>
    <font>
      <name val="Meiryo UI"/>
      <color rgb="00000000"/>
      <sz val="10"/>
    </font>
    <font>
      <name val="Meiryo UI"/>
      <b val="1"/>
      <color rgb="001B365D"/>
      <sz val="10"/>
    </font>
    <font>
      <name val="Meiryo UI"/>
      <b val="1"/>
      <sz val="9"/>
    </font>
    <font>
      <name val="Meiryo UI"/>
      <b val="1"/>
      <color rgb="001B365D"/>
      <sz val="11"/>
    </font>
    <font>
      <name val="Meiryo UI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" fontId="6" fillId="4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left"/>
    </xf>
    <xf numFmtId="3" fontId="6" fillId="4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3" fontId="4" fillId="0" borderId="2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9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165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中堅精密部品メーカー買収におけるBDDバリューアップ財務モデル</t>
        </is>
      </c>
      <c r="G1" s="2" t="inlineStr">
        <is>
          <t>（単位：百万円）</t>
        </is>
      </c>
    </row>
    <row r="2">
      <c r="A2" s="3" t="inlineStr">
        <is>
          <t>（１）シナリオ選択</t>
        </is>
      </c>
      <c r="B2" s="3" t="inlineStr">
        <is>
          <t>シナリオ切替コントロール</t>
        </is>
      </c>
      <c r="C2" s="4" t="inlineStr"/>
      <c r="D2" s="4" t="inlineStr"/>
      <c r="E2" s="4" t="inlineStr"/>
      <c r="F2" s="4" t="inlineStr"/>
      <c r="G2" s="4" t="inlineStr"/>
    </row>
    <row r="3">
      <c r="B3" s="5" t="inlineStr">
        <is>
          <t>選択シナリオ番号 (1=Base, 2=Upside, 3=Downside)</t>
        </is>
      </c>
      <c r="C3" s="6" t="n">
        <v>1</v>
      </c>
      <c r="D3" s="7">
        <f>CHOOSE(C3, "Base Case (標準)", "Upside Case (強気)", "Downside Case (弱気)")</f>
        <v/>
      </c>
    </row>
    <row r="5">
      <c r="A5" s="3" t="inlineStr">
        <is>
          <t>（２）実績正規化</t>
        </is>
      </c>
      <c r="B5" s="3" t="inlineStr">
        <is>
          <t>実績損益・EBITDA正規化ブリッジ</t>
        </is>
      </c>
      <c r="C5" s="4" t="inlineStr">
        <is>
          <t>2022A</t>
        </is>
      </c>
      <c r="D5" s="4" t="inlineStr">
        <is>
          <t>2023E</t>
        </is>
      </c>
      <c r="E5" s="4" t="inlineStr">
        <is>
          <t>2024E</t>
        </is>
      </c>
      <c r="F5" s="4" t="inlineStr">
        <is>
          <t>2025E</t>
        </is>
      </c>
      <c r="G5" s="4" t="inlineStr">
        <is>
          <t>2026E</t>
        </is>
      </c>
    </row>
    <row r="6">
      <c r="B6" t="inlineStr">
        <is>
          <t>会計上売上高（Reported Revenue）</t>
        </is>
      </c>
      <c r="C6" s="8" t="n">
        <v>5000</v>
      </c>
    </row>
    <row r="7">
      <c r="B7" t="inlineStr">
        <is>
          <t>会計上売上原価</t>
        </is>
      </c>
      <c r="C7" s="8" t="n">
        <v>-3000</v>
      </c>
    </row>
    <row r="8">
      <c r="B8" t="inlineStr">
        <is>
          <t>会計上売上総利益</t>
        </is>
      </c>
      <c r="C8" s="9">
        <f>C6+C7</f>
        <v/>
      </c>
    </row>
    <row r="9">
      <c r="B9" t="inlineStr">
        <is>
          <t>会計上販売管理費</t>
        </is>
      </c>
      <c r="C9" s="8" t="n">
        <v>-1400</v>
      </c>
    </row>
    <row r="10">
      <c r="B10" s="5" t="inlineStr">
        <is>
          <t>会計上営業利益（Reported EBIT）</t>
        </is>
      </c>
      <c r="C10" s="9">
        <f>C8+C9</f>
        <v/>
      </c>
    </row>
    <row r="11">
      <c r="B11" t="inlineStr">
        <is>
          <t>減価償却費（D&amp;A）</t>
        </is>
      </c>
      <c r="C11" s="8" t="n">
        <v>200</v>
      </c>
    </row>
    <row r="12">
      <c r="B12" s="5" t="inlineStr">
        <is>
          <t>会計上EBITDA（Reported EBITDA）</t>
        </is>
      </c>
      <c r="C12" s="9">
        <f>C10+C11</f>
        <v/>
      </c>
    </row>
    <row r="13">
      <c r="B13" t="inlineStr">
        <is>
          <t>【調整(+)】オーナー過大役員報酬の適正化</t>
        </is>
      </c>
      <c r="C13" s="8" t="n">
        <v>50</v>
      </c>
    </row>
    <row r="14">
      <c r="B14" t="inlineStr">
        <is>
          <t>【調整(+)】創業家私的経費・交際費等の除外</t>
        </is>
      </c>
      <c r="C14" s="8" t="n">
        <v>30</v>
      </c>
    </row>
    <row r="15">
      <c r="B15" t="inlineStr">
        <is>
          <t>【調整(+)】本社移転・一過性アドバイザリー費用</t>
        </is>
      </c>
      <c r="C15" s="8" t="n">
        <v>40</v>
      </c>
    </row>
    <row r="16">
      <c r="B16" t="inlineStr">
        <is>
          <t>【調整(-)】一過性助成金・受取保険金の控除</t>
        </is>
      </c>
      <c r="C16" s="8" t="n">
        <v>-20</v>
      </c>
    </row>
    <row r="17">
      <c r="B17" s="10" t="inlineStr">
        <is>
          <t>実質収益力・調整後EBITDA（Normalized EBITDA）</t>
        </is>
      </c>
      <c r="C17" s="11">
        <f>C12+SUM(C13:C16)</f>
        <v/>
      </c>
    </row>
    <row r="18">
      <c r="B18" t="inlineStr">
        <is>
          <t>実質EBITDAマージン</t>
        </is>
      </c>
      <c r="C18" s="12">
        <f>C17/C6</f>
        <v/>
      </c>
    </row>
    <row r="20">
      <c r="A20" s="3" t="inlineStr">
        <is>
          <t>（３）KPIドライバー</t>
        </is>
      </c>
      <c r="B20" s="3" t="inlineStr">
        <is>
          <t>事業KPIドライバー（顧客数 × ARPU × 原価率）</t>
        </is>
      </c>
      <c r="C20" s="4" t="inlineStr">
        <is>
          <t>2022A</t>
        </is>
      </c>
      <c r="D20" s="4" t="inlineStr">
        <is>
          <t>2023E</t>
        </is>
      </c>
      <c r="E20" s="4" t="inlineStr">
        <is>
          <t>2024E</t>
        </is>
      </c>
      <c r="F20" s="4" t="inlineStr">
        <is>
          <t>2025E</t>
        </is>
      </c>
      <c r="G20" s="4" t="inlineStr">
        <is>
          <t>2026E</t>
        </is>
      </c>
    </row>
    <row r="22">
      <c r="B22" t="inlineStr">
        <is>
          <t>[Base] 新規獲得顧客数 (社)</t>
        </is>
      </c>
      <c r="D22" s="8" t="n">
        <v>30</v>
      </c>
      <c r="E22" s="8" t="n">
        <v>35</v>
      </c>
      <c r="F22" s="8" t="n">
        <v>40</v>
      </c>
      <c r="G22" s="8" t="n">
        <v>45</v>
      </c>
    </row>
    <row r="23">
      <c r="B23" t="inlineStr">
        <is>
          <t>[Base] 顧客解約率 (Churn Rate)</t>
        </is>
      </c>
      <c r="D23" s="13" t="n">
        <v>0.05</v>
      </c>
      <c r="E23" s="13" t="n">
        <v>0.045</v>
      </c>
      <c r="F23" s="13" t="n">
        <v>0.04</v>
      </c>
      <c r="G23" s="13" t="n">
        <v>0.04</v>
      </c>
    </row>
    <row r="24">
      <c r="B24" t="inlineStr">
        <is>
          <t>[Base] 顧客あたり年間ARPU (百万円)</t>
        </is>
      </c>
      <c r="D24" s="8" t="n">
        <v>10</v>
      </c>
      <c r="E24" s="8" t="n">
        <v>10.2</v>
      </c>
      <c r="F24" s="8" t="n">
        <v>10.5</v>
      </c>
      <c r="G24" s="8" t="n">
        <v>10.8</v>
      </c>
    </row>
    <row r="25">
      <c r="B25" t="inlineStr">
        <is>
          <t>[Base] 変動売上原価率 (%)</t>
        </is>
      </c>
      <c r="D25" s="13" t="n">
        <v>0.55</v>
      </c>
      <c r="E25" s="13" t="n">
        <v>0.54</v>
      </c>
      <c r="F25" s="13" t="n">
        <v>0.53</v>
      </c>
      <c r="G25" s="13" t="n">
        <v>0.52</v>
      </c>
    </row>
    <row r="27">
      <c r="B27" t="inlineStr">
        <is>
          <t>[Upside] 新規獲得顧客数 (社)</t>
        </is>
      </c>
      <c r="D27" s="8" t="n">
        <v>45</v>
      </c>
      <c r="E27" s="8" t="n">
        <v>55</v>
      </c>
      <c r="F27" s="8" t="n">
        <v>65</v>
      </c>
      <c r="G27" s="8" t="n">
        <v>75</v>
      </c>
    </row>
    <row r="28">
      <c r="B28" t="inlineStr">
        <is>
          <t>[Upside] 顧客解約率 (Churn Rate)</t>
        </is>
      </c>
      <c r="D28" s="13" t="n">
        <v>0.04</v>
      </c>
      <c r="E28" s="13" t="n">
        <v>0.035</v>
      </c>
      <c r="F28" s="13" t="n">
        <v>0.03</v>
      </c>
      <c r="G28" s="13" t="n">
        <v>0.03</v>
      </c>
    </row>
    <row r="29">
      <c r="B29" t="inlineStr">
        <is>
          <t>[Upside] 顧客あたり年間ARPU (百万円)</t>
        </is>
      </c>
      <c r="D29" s="8" t="n">
        <v>10.5</v>
      </c>
      <c r="E29" s="8" t="n">
        <v>11</v>
      </c>
      <c r="F29" s="8" t="n">
        <v>11.5</v>
      </c>
      <c r="G29" s="8" t="n">
        <v>12</v>
      </c>
    </row>
    <row r="30">
      <c r="B30" t="inlineStr">
        <is>
          <t>[Upside] 変動売上原価率 (%)</t>
        </is>
      </c>
      <c r="D30" s="13" t="n">
        <v>0.53</v>
      </c>
      <c r="E30" s="13" t="n">
        <v>0.51</v>
      </c>
      <c r="F30" s="13" t="n">
        <v>0.5</v>
      </c>
      <c r="G30" s="13" t="n">
        <v>0.49</v>
      </c>
    </row>
    <row r="32">
      <c r="B32" t="inlineStr">
        <is>
          <t>[Downside] 新規獲得顧客数 (社)</t>
        </is>
      </c>
      <c r="D32" s="8" t="n">
        <v>15</v>
      </c>
      <c r="E32" s="8" t="n">
        <v>15</v>
      </c>
      <c r="F32" s="8" t="n">
        <v>20</v>
      </c>
      <c r="G32" s="8" t="n">
        <v>20</v>
      </c>
    </row>
    <row r="33">
      <c r="B33" t="inlineStr">
        <is>
          <t>[Downside] 顧客解約率 (Churn Rate)</t>
        </is>
      </c>
      <c r="D33" s="13" t="n">
        <v>0.07000000000000001</v>
      </c>
      <c r="E33" s="13" t="n">
        <v>0.07000000000000001</v>
      </c>
      <c r="F33" s="13" t="n">
        <v>0.065</v>
      </c>
      <c r="G33" s="13" t="n">
        <v>0.065</v>
      </c>
    </row>
    <row r="34">
      <c r="B34" t="inlineStr">
        <is>
          <t>[Downside] 顧客あたり年間ARPU (百万円)</t>
        </is>
      </c>
      <c r="D34" s="8" t="n">
        <v>9.5</v>
      </c>
      <c r="E34" s="8" t="n">
        <v>9.5</v>
      </c>
      <c r="F34" s="8" t="n">
        <v>9.6</v>
      </c>
      <c r="G34" s="8" t="n">
        <v>9.699999999999999</v>
      </c>
    </row>
    <row r="35">
      <c r="B35" t="inlineStr">
        <is>
          <t>[Downside] 変動売上原価率 (%)</t>
        </is>
      </c>
      <c r="D35" s="13" t="n">
        <v>0.57</v>
      </c>
      <c r="E35" s="13" t="n">
        <v>0.57</v>
      </c>
      <c r="F35" s="13" t="n">
        <v>0.5600000000000001</v>
      </c>
      <c r="G35" s="13" t="n">
        <v>0.5600000000000001</v>
      </c>
    </row>
    <row r="37">
      <c r="B37" s="14" t="inlineStr">
        <is>
          <t>【適用】新規獲得顧客数 (社)</t>
        </is>
      </c>
      <c r="D37" s="15">
        <f>CHOOSE($C$3, D22, D27, D32)</f>
        <v/>
      </c>
      <c r="E37" s="15">
        <f>CHOOSE($C$3, E22, E27, E32)</f>
        <v/>
      </c>
      <c r="F37" s="15">
        <f>CHOOSE($C$3, F22, F27, F32)</f>
        <v/>
      </c>
      <c r="G37" s="15">
        <f>CHOOSE($C$3, G22, G27, G32)</f>
        <v/>
      </c>
    </row>
    <row r="38">
      <c r="B38" s="14" t="inlineStr">
        <is>
          <t>【適用】顧客解約率 (Churn)</t>
        </is>
      </c>
      <c r="D38" s="12">
        <f>CHOOSE($C$3, D23, D28, D33)</f>
        <v/>
      </c>
      <c r="E38" s="12">
        <f>CHOOSE($C$3, E23, E28, E33)</f>
        <v/>
      </c>
      <c r="F38" s="12">
        <f>CHOOSE($C$3, F23, F28, F33)</f>
        <v/>
      </c>
      <c r="G38" s="12">
        <f>CHOOSE($C$3, G23, G28, G33)</f>
        <v/>
      </c>
    </row>
    <row r="39">
      <c r="B39" s="14" t="inlineStr">
        <is>
          <t>【適用】顧客あたり年間ARPU (百万円)</t>
        </is>
      </c>
      <c r="D39" s="15">
        <f>CHOOSE($C$3, D24, D29, D34)</f>
        <v/>
      </c>
      <c r="E39" s="15">
        <f>CHOOSE($C$3, E24, E29, E34)</f>
        <v/>
      </c>
      <c r="F39" s="15">
        <f>CHOOSE($C$3, F24, F29, F34)</f>
        <v/>
      </c>
      <c r="G39" s="15">
        <f>CHOOSE($C$3, G24, G29, G34)</f>
        <v/>
      </c>
    </row>
    <row r="40">
      <c r="B40" s="14" t="inlineStr">
        <is>
          <t>【適用】変動売上原価率 (%)</t>
        </is>
      </c>
      <c r="D40" s="12">
        <f>CHOOSE($C$3, D25, D30, D35)</f>
        <v/>
      </c>
      <c r="E40" s="12">
        <f>CHOOSE($C$3, E25, E30, E35)</f>
        <v/>
      </c>
      <c r="F40" s="12">
        <f>CHOOSE($C$3, F25, F30, F35)</f>
        <v/>
      </c>
      <c r="G40" s="12">
        <f>CHOOSE($C$3, G25, G30, G35)</f>
        <v/>
      </c>
    </row>
    <row r="41">
      <c r="B41" s="10" t="inlineStr">
        <is>
          <t>【適用】期末アクティブ顧客数 (社)</t>
        </is>
      </c>
      <c r="C41" s="8" t="n">
        <v>500</v>
      </c>
      <c r="D41" s="9">
        <f>C41*(1-D38)+D37</f>
        <v/>
      </c>
      <c r="E41" s="9">
        <f>D41*(1-E38)+E37</f>
        <v/>
      </c>
      <c r="F41" s="9">
        <f>E41*(1-F38)+F37</f>
        <v/>
      </c>
      <c r="G41" s="9">
        <f>F41*(1-G38)+G37</f>
        <v/>
      </c>
    </row>
    <row r="43">
      <c r="A43" s="3" t="inlineStr">
        <is>
          <t>（４）シナジー計画</t>
        </is>
      </c>
      <c r="B43" s="3" t="inlineStr">
        <is>
          <t>バリューアップ・買収シナジー計画</t>
        </is>
      </c>
      <c r="C43" s="4" t="inlineStr">
        <is>
          <t>2022A</t>
        </is>
      </c>
      <c r="D43" s="4" t="inlineStr">
        <is>
          <t>2023E</t>
        </is>
      </c>
      <c r="E43" s="4" t="inlineStr">
        <is>
          <t>2024E</t>
        </is>
      </c>
      <c r="F43" s="4" t="inlineStr">
        <is>
          <t>2025E</t>
        </is>
      </c>
      <c r="G43" s="4" t="inlineStr">
        <is>
          <t>2026E</t>
        </is>
      </c>
    </row>
    <row r="44">
      <c r="B44" t="inlineStr">
        <is>
          <t>売上シナジー潜在額（クロスセル・新規販路）</t>
        </is>
      </c>
      <c r="D44" s="8" t="n">
        <v>200</v>
      </c>
      <c r="E44" s="8" t="n">
        <v>400</v>
      </c>
      <c r="F44" s="8" t="n">
        <v>600</v>
      </c>
      <c r="G44" s="8" t="n">
        <v>800</v>
      </c>
    </row>
    <row r="45">
      <c r="B45" t="inlineStr">
        <is>
          <t>コストシナジー潜在額（共同調達・機能集約）</t>
        </is>
      </c>
      <c r="D45" s="8" t="n">
        <v>50</v>
      </c>
      <c r="E45" s="8" t="n">
        <v>100</v>
      </c>
      <c r="F45" s="8" t="n">
        <v>150</v>
      </c>
      <c r="G45" s="8" t="n">
        <v>200</v>
      </c>
    </row>
    <row r="46">
      <c r="B46" t="inlineStr">
        <is>
          <t>シナジー実現率（Ramp-up率）</t>
        </is>
      </c>
      <c r="D46" s="13" t="n">
        <v>0.3</v>
      </c>
      <c r="E46" s="13" t="n">
        <v>0.7</v>
      </c>
      <c r="F46" s="13" t="n">
        <v>1</v>
      </c>
      <c r="G46" s="13" t="n">
        <v>1</v>
      </c>
    </row>
    <row r="47">
      <c r="B47" s="14" t="inlineStr">
        <is>
          <t>【発現】売上シナジー額</t>
        </is>
      </c>
      <c r="D47" s="15">
        <f>D44*D46</f>
        <v/>
      </c>
      <c r="E47" s="15">
        <f>E44*E46</f>
        <v/>
      </c>
      <c r="F47" s="15">
        <f>F44*F46</f>
        <v/>
      </c>
      <c r="G47" s="15">
        <f>G44*G46</f>
        <v/>
      </c>
    </row>
    <row r="48">
      <c r="B48" s="14" t="inlineStr">
        <is>
          <t>【発現】コスト削減シナジー額</t>
        </is>
      </c>
      <c r="D48" s="15">
        <f>D45*D46</f>
        <v/>
      </c>
      <c r="E48" s="15">
        <f>E45*E46</f>
        <v/>
      </c>
      <c r="F48" s="15">
        <f>F45*F46</f>
        <v/>
      </c>
      <c r="G48" s="15">
        <f>G45*G46</f>
        <v/>
      </c>
    </row>
    <row r="50">
      <c r="A50" s="3" t="inlineStr">
        <is>
          <t>（５）将来損益計算書</t>
        </is>
      </c>
      <c r="B50" s="3" t="inlineStr">
        <is>
          <t>プロフォルマ損益計算書（P/L）</t>
        </is>
      </c>
      <c r="C50" s="4" t="inlineStr">
        <is>
          <t>2022A</t>
        </is>
      </c>
      <c r="D50" s="4" t="inlineStr">
        <is>
          <t>2023E</t>
        </is>
      </c>
      <c r="E50" s="4" t="inlineStr">
        <is>
          <t>2024E</t>
        </is>
      </c>
      <c r="F50" s="4" t="inlineStr">
        <is>
          <t>2025E</t>
        </is>
      </c>
      <c r="G50" s="4" t="inlineStr">
        <is>
          <t>2026E</t>
        </is>
      </c>
    </row>
    <row r="51">
      <c r="B51" t="inlineStr">
        <is>
          <t>スタンドアローン売上高（顧客数 × ARPU）</t>
        </is>
      </c>
      <c r="C51" s="15">
        <f>C6</f>
        <v/>
      </c>
      <c r="D51" s="15">
        <f>D41*D39</f>
        <v/>
      </c>
      <c r="E51" s="15">
        <f>E41*E39</f>
        <v/>
      </c>
      <c r="F51" s="15">
        <f>F41*F39</f>
        <v/>
      </c>
      <c r="G51" s="15">
        <f>G41*G39</f>
        <v/>
      </c>
    </row>
    <row r="52">
      <c r="B52" t="inlineStr">
        <is>
          <t>（＋）売上シナジー</t>
        </is>
      </c>
      <c r="C52" s="8" t="n">
        <v>0</v>
      </c>
      <c r="D52" s="15">
        <f>D47</f>
        <v/>
      </c>
      <c r="E52" s="15">
        <f>E47</f>
        <v/>
      </c>
      <c r="F52" s="15">
        <f>F47</f>
        <v/>
      </c>
      <c r="G52" s="15">
        <f>G47</f>
        <v/>
      </c>
    </row>
    <row r="53">
      <c r="B53" s="5" t="inlineStr">
        <is>
          <t>プロフォルマ売上高合計</t>
        </is>
      </c>
      <c r="C53" s="15">
        <f>C51+C52</f>
        <v/>
      </c>
      <c r="D53" s="9">
        <f>D51+D52</f>
        <v/>
      </c>
      <c r="E53" s="9">
        <f>E51+E52</f>
        <v/>
      </c>
      <c r="F53" s="9">
        <f>F51+F52</f>
        <v/>
      </c>
      <c r="G53" s="9">
        <f>G51+G52</f>
        <v/>
      </c>
    </row>
    <row r="54">
      <c r="B54" t="inlineStr">
        <is>
          <t>変動売上原価</t>
        </is>
      </c>
      <c r="C54" s="15">
        <f>C7</f>
        <v/>
      </c>
      <c r="D54" s="15">
        <f>-D53*D40</f>
        <v/>
      </c>
      <c r="E54" s="15">
        <f>-E53*E40</f>
        <v/>
      </c>
      <c r="F54" s="15">
        <f>-F53*F40</f>
        <v/>
      </c>
      <c r="G54" s="15">
        <f>-G53*G40</f>
        <v/>
      </c>
    </row>
    <row r="55">
      <c r="B55" t="inlineStr">
        <is>
          <t>（＋）調達コスト削減シナジー</t>
        </is>
      </c>
      <c r="C55" s="8" t="n">
        <v>0</v>
      </c>
      <c r="D55" s="15">
        <f>D48</f>
        <v/>
      </c>
      <c r="E55" s="15">
        <f>E48</f>
        <v/>
      </c>
      <c r="F55" s="15">
        <f>F48</f>
        <v/>
      </c>
      <c r="G55" s="15">
        <f>G48</f>
        <v/>
      </c>
    </row>
    <row r="56">
      <c r="B56" s="5" t="inlineStr">
        <is>
          <t>プロフォルマ売上総利益</t>
        </is>
      </c>
      <c r="C56" s="9">
        <f>C53+C54+C55</f>
        <v/>
      </c>
      <c r="D56" s="9">
        <f>D53+D54+D55</f>
        <v/>
      </c>
      <c r="E56" s="9">
        <f>E53+E54+E55</f>
        <v/>
      </c>
      <c r="F56" s="9">
        <f>F53+F54+F55</f>
        <v/>
      </c>
      <c r="G56" s="9">
        <f>G53+G54+G55</f>
        <v/>
      </c>
    </row>
    <row r="57">
      <c r="B57" t="inlineStr">
        <is>
          <t>固定販管費（正規化ベース・物価スライド）</t>
        </is>
      </c>
      <c r="C57" s="15">
        <f>C9+C13+C14+C15+C16</f>
        <v/>
      </c>
      <c r="D57" s="15">
        <f>C57*(1+$C$85)</f>
        <v/>
      </c>
      <c r="E57" s="15">
        <f>C57*(1+$C$85)</f>
        <v/>
      </c>
      <c r="F57" s="15">
        <f>C57*(1+$C$85)</f>
        <v/>
      </c>
      <c r="G57" s="15">
        <f>C57*(1+$C$85)</f>
        <v/>
      </c>
    </row>
    <row r="58">
      <c r="B58" s="5" t="inlineStr">
        <is>
          <t>プロフォルマ営業利益（EBIT）</t>
        </is>
      </c>
      <c r="C58" s="9">
        <f>C56+C57</f>
        <v/>
      </c>
      <c r="D58" s="9">
        <f>D56+D57</f>
        <v/>
      </c>
      <c r="E58" s="9">
        <f>E56+E57</f>
        <v/>
      </c>
      <c r="F58" s="9">
        <f>F56+F57</f>
        <v/>
      </c>
      <c r="G58" s="9">
        <f>G56+G57</f>
        <v/>
      </c>
    </row>
    <row r="59">
      <c r="B59" t="inlineStr">
        <is>
          <t>支払利息（デットスケジュール連動）</t>
        </is>
      </c>
      <c r="C59" s="8" t="n">
        <v>-30</v>
      </c>
      <c r="D59" s="15">
        <f>-D76</f>
        <v/>
      </c>
      <c r="E59" s="15">
        <f>-E76</f>
        <v/>
      </c>
      <c r="F59" s="15">
        <f>-F76</f>
        <v/>
      </c>
      <c r="G59" s="15">
        <f>-G76</f>
        <v/>
      </c>
    </row>
    <row r="60">
      <c r="B60" s="5" t="inlineStr">
        <is>
          <t>税引前当期純利益</t>
        </is>
      </c>
      <c r="C60" s="9">
        <f>C58+C59</f>
        <v/>
      </c>
      <c r="D60" s="9">
        <f>D58+D59</f>
        <v/>
      </c>
      <c r="E60" s="9">
        <f>E58+E59</f>
        <v/>
      </c>
      <c r="F60" s="9">
        <f>F58+F59</f>
        <v/>
      </c>
      <c r="G60" s="9">
        <f>G58+G59</f>
        <v/>
      </c>
    </row>
    <row r="61">
      <c r="B61" t="inlineStr">
        <is>
          <t>法人税等</t>
        </is>
      </c>
      <c r="C61" s="15">
        <f>-MAX(0, C60*$C$84)</f>
        <v/>
      </c>
      <c r="D61" s="15">
        <f>-MAX(0, D60*$C$84)</f>
        <v/>
      </c>
      <c r="E61" s="15">
        <f>-MAX(0, E60*$C$84)</f>
        <v/>
      </c>
      <c r="F61" s="15">
        <f>-MAX(0, F60*$C$84)</f>
        <v/>
      </c>
      <c r="G61" s="15">
        <f>-MAX(0, G60*$C$84)</f>
        <v/>
      </c>
    </row>
    <row r="62">
      <c r="B62" s="5" t="inlineStr">
        <is>
          <t>税引後当期純利益</t>
        </is>
      </c>
      <c r="C62" s="11">
        <f>C60+C61</f>
        <v/>
      </c>
      <c r="D62" s="11">
        <f>D60+D61</f>
        <v/>
      </c>
      <c r="E62" s="11">
        <f>E60+E61</f>
        <v/>
      </c>
      <c r="F62" s="11">
        <f>F60+F61</f>
        <v/>
      </c>
      <c r="G62" s="11">
        <f>G60+G61</f>
        <v/>
      </c>
    </row>
    <row r="63">
      <c r="B63" t="inlineStr">
        <is>
          <t>減価償却費（足し戻し）</t>
        </is>
      </c>
      <c r="C63" s="15">
        <f>C11</f>
        <v/>
      </c>
      <c r="D63" s="15">
        <f>-D70</f>
        <v/>
      </c>
      <c r="E63" s="15">
        <f>-E70</f>
        <v/>
      </c>
      <c r="F63" s="15">
        <f>-F70</f>
        <v/>
      </c>
      <c r="G63" s="15">
        <f>-G70</f>
        <v/>
      </c>
    </row>
    <row r="64">
      <c r="B64" s="16" t="inlineStr">
        <is>
          <t>プロフォルマEBITDA</t>
        </is>
      </c>
      <c r="C64" s="11">
        <f>C58+C63</f>
        <v/>
      </c>
      <c r="D64" s="11">
        <f>D58+D63</f>
        <v/>
      </c>
      <c r="E64" s="11">
        <f>E58+E63</f>
        <v/>
      </c>
      <c r="F64" s="11">
        <f>F58+F63</f>
        <v/>
      </c>
      <c r="G64" s="11">
        <f>G58+G63</f>
        <v/>
      </c>
    </row>
    <row r="65">
      <c r="B65" t="inlineStr">
        <is>
          <t>プロフォルマEBITDAマージン</t>
        </is>
      </c>
      <c r="C65" s="12">
        <f>C64/C53</f>
        <v/>
      </c>
      <c r="D65" s="12">
        <f>D64/D53</f>
        <v/>
      </c>
      <c r="E65" s="12">
        <f>E64/E53</f>
        <v/>
      </c>
      <c r="F65" s="12">
        <f>F64/F53</f>
        <v/>
      </c>
      <c r="G65" s="12">
        <f>G64/G53</f>
        <v/>
      </c>
    </row>
    <row r="67">
      <c r="A67" s="3" t="inlineStr">
        <is>
          <t>（６）スケジュール</t>
        </is>
      </c>
      <c r="B67" s="3" t="inlineStr">
        <is>
          <t>資産・負債スケジュール</t>
        </is>
      </c>
      <c r="C67" s="4" t="inlineStr">
        <is>
          <t>2022A</t>
        </is>
      </c>
      <c r="D67" s="4" t="inlineStr">
        <is>
          <t>2023E</t>
        </is>
      </c>
      <c r="E67" s="4" t="inlineStr">
        <is>
          <t>2024E</t>
        </is>
      </c>
      <c r="F67" s="4" t="inlineStr">
        <is>
          <t>2025E</t>
        </is>
      </c>
      <c r="G67" s="4" t="inlineStr">
        <is>
          <t>2026E</t>
        </is>
      </c>
    </row>
    <row r="68">
      <c r="B68" t="inlineStr">
        <is>
          <t>期首有形固定資産（PP&amp;E）</t>
        </is>
      </c>
      <c r="D68" s="15">
        <f>C71</f>
        <v/>
      </c>
      <c r="E68" s="15">
        <f>D71</f>
        <v/>
      </c>
      <c r="F68" s="15">
        <f>E71</f>
        <v/>
      </c>
      <c r="G68" s="15">
        <f>F71</f>
        <v/>
      </c>
    </row>
    <row r="69">
      <c r="B69" t="inlineStr">
        <is>
          <t>設備投資（維持Capex・マイナス）</t>
        </is>
      </c>
      <c r="D69" s="15">
        <f>-D68*D83</f>
        <v/>
      </c>
      <c r="E69" s="15">
        <f>-E68*E83</f>
        <v/>
      </c>
      <c r="F69" s="15">
        <f>-F68*F83</f>
        <v/>
      </c>
      <c r="G69" s="15">
        <f>-G68*G83</f>
        <v/>
      </c>
    </row>
    <row r="70">
      <c r="B70" t="inlineStr">
        <is>
          <t>減価償却費</t>
        </is>
      </c>
      <c r="D70" s="15">
        <f>-D68*D83</f>
        <v/>
      </c>
      <c r="E70" s="15">
        <f>-E68*E83</f>
        <v/>
      </c>
      <c r="F70" s="15">
        <f>-F68*F83</f>
        <v/>
      </c>
      <c r="G70" s="15">
        <f>-G68*G83</f>
        <v/>
      </c>
    </row>
    <row r="71">
      <c r="B71" s="14" t="inlineStr">
        <is>
          <t>期末有形固定資産</t>
        </is>
      </c>
      <c r="C71" s="8" t="n">
        <v>2000</v>
      </c>
      <c r="D71" s="9">
        <f>D68-D69+D70</f>
        <v/>
      </c>
      <c r="E71" s="9">
        <f>E68-E69+E70</f>
        <v/>
      </c>
      <c r="F71" s="9">
        <f>F68-F69+F70</f>
        <v/>
      </c>
      <c r="G71" s="9">
        <f>G68-G69+G70</f>
        <v/>
      </c>
    </row>
    <row r="73">
      <c r="B73" t="inlineStr">
        <is>
          <t>期首借入金残高</t>
        </is>
      </c>
      <c r="D73" s="15">
        <f>C75</f>
        <v/>
      </c>
      <c r="E73" s="15">
        <f>D75</f>
        <v/>
      </c>
      <c r="F73" s="15">
        <f>E75</f>
        <v/>
      </c>
      <c r="G73" s="15">
        <f>F75</f>
        <v/>
      </c>
    </row>
    <row r="74">
      <c r="B74" t="inlineStr">
        <is>
          <t>借入金約定返済額</t>
        </is>
      </c>
      <c r="D74" s="8" t="n">
        <v>-150</v>
      </c>
      <c r="E74" s="8" t="n">
        <v>-150</v>
      </c>
      <c r="F74" s="8" t="n">
        <v>-150</v>
      </c>
      <c r="G74" s="8" t="n">
        <v>-150</v>
      </c>
    </row>
    <row r="75">
      <c r="B75" s="14" t="inlineStr">
        <is>
          <t>期末借入金残高</t>
        </is>
      </c>
      <c r="C75" s="8" t="n">
        <v>1500</v>
      </c>
      <c r="D75" s="9">
        <f>D73+D74</f>
        <v/>
      </c>
      <c r="E75" s="9">
        <f>E73+E74</f>
        <v/>
      </c>
      <c r="F75" s="9">
        <f>F73+F74</f>
        <v/>
      </c>
      <c r="G75" s="9">
        <f>G73+G74</f>
        <v/>
      </c>
    </row>
    <row r="76">
      <c r="B76" t="inlineStr">
        <is>
          <t>支払利息（期首残高 × 金利）</t>
        </is>
      </c>
      <c r="C76" s="8" t="n">
        <v>30</v>
      </c>
      <c r="D76" s="15">
        <f>D73*D86</f>
        <v/>
      </c>
      <c r="E76" s="15">
        <f>E73*E86</f>
        <v/>
      </c>
      <c r="F76" s="15">
        <f>F73*F86</f>
        <v/>
      </c>
      <c r="G76" s="15">
        <f>G73*G86</f>
        <v/>
      </c>
    </row>
    <row r="78">
      <c r="B78" t="inlineStr">
        <is>
          <t>売掛金（売上高連動）</t>
        </is>
      </c>
      <c r="C78" s="15">
        <f>C53*C87</f>
        <v/>
      </c>
      <c r="D78" s="15">
        <f>D53*D87</f>
        <v/>
      </c>
      <c r="E78" s="15">
        <f>E53*E87</f>
        <v/>
      </c>
      <c r="F78" s="15">
        <f>F53*F87</f>
        <v/>
      </c>
      <c r="G78" s="15">
        <f>G53*G87</f>
        <v/>
      </c>
    </row>
    <row r="79">
      <c r="B79" t="inlineStr">
        <is>
          <t>買掛金（原価連動）</t>
        </is>
      </c>
      <c r="C79" s="15">
        <f>-C54*C88</f>
        <v/>
      </c>
      <c r="D79" s="15">
        <f>-D54*D88</f>
        <v/>
      </c>
      <c r="E79" s="15">
        <f>-E54*E88</f>
        <v/>
      </c>
      <c r="F79" s="15">
        <f>-F54*F88</f>
        <v/>
      </c>
      <c r="G79" s="15">
        <f>-G54*G88</f>
        <v/>
      </c>
    </row>
    <row r="80">
      <c r="B80" s="14" t="inlineStr">
        <is>
          <t>正味運転資本（OWC）</t>
        </is>
      </c>
      <c r="C80" s="9">
        <f>C78-C79</f>
        <v/>
      </c>
      <c r="D80" s="9">
        <f>D78-D79</f>
        <v/>
      </c>
      <c r="E80" s="9">
        <f>E78-E79</f>
        <v/>
      </c>
      <c r="F80" s="9">
        <f>F78-F79</f>
        <v/>
      </c>
      <c r="G80" s="9">
        <f>G78-G79</f>
        <v/>
      </c>
    </row>
    <row r="82">
      <c r="B82" s="14" t="inlineStr">
        <is>
          <t>【共通モデル前提・マクロ前提】</t>
        </is>
      </c>
    </row>
    <row r="83">
      <c r="B83" t="inlineStr">
        <is>
          <t>設備投資・減価償却率（Capex/Depr Ratio）</t>
        </is>
      </c>
      <c r="C83" s="13" t="n">
        <v>0.1</v>
      </c>
      <c r="D83" s="13" t="n">
        <v>0.1</v>
      </c>
      <c r="E83" s="13" t="n">
        <v>0.1</v>
      </c>
      <c r="F83" s="13" t="n">
        <v>0.1</v>
      </c>
      <c r="G83" s="13" t="n">
        <v>0.1</v>
      </c>
    </row>
    <row r="84">
      <c r="B84" t="inlineStr">
        <is>
          <t>実効税率（Tax Rate）</t>
        </is>
      </c>
      <c r="C84" s="13" t="n">
        <v>0.3</v>
      </c>
      <c r="D84" s="13" t="n">
        <v>0.3</v>
      </c>
      <c r="E84" s="13" t="n">
        <v>0.3</v>
      </c>
      <c r="F84" s="13" t="n">
        <v>0.3</v>
      </c>
      <c r="G84" s="13" t="n">
        <v>0.3</v>
      </c>
    </row>
    <row r="85">
      <c r="B85" t="inlineStr">
        <is>
          <t>物価上昇率（固定費スライド率）</t>
        </is>
      </c>
      <c r="C85" s="13" t="n">
        <v>0.02</v>
      </c>
      <c r="D85" s="13" t="n">
        <v>0.02</v>
      </c>
      <c r="E85" s="13" t="n">
        <v>0.02</v>
      </c>
      <c r="F85" s="13" t="n">
        <v>0.02</v>
      </c>
      <c r="G85" s="13" t="n">
        <v>0.02</v>
      </c>
    </row>
    <row r="86">
      <c r="B86" t="inlineStr">
        <is>
          <t>借入金利（Debt Interest Rate）</t>
        </is>
      </c>
      <c r="C86" s="13" t="n">
        <v>0.02</v>
      </c>
      <c r="D86" s="13" t="n">
        <v>0.02</v>
      </c>
      <c r="E86" s="13" t="n">
        <v>0.02</v>
      </c>
      <c r="F86" s="13" t="n">
        <v>0.02</v>
      </c>
      <c r="G86" s="13" t="n">
        <v>0.02</v>
      </c>
    </row>
    <row r="87">
      <c r="B87" t="inlineStr">
        <is>
          <t>売掛金対売上比率（AR % of Revenue）</t>
        </is>
      </c>
      <c r="C87" s="13" t="n">
        <v>0.1</v>
      </c>
      <c r="D87" s="13" t="n">
        <v>0.1</v>
      </c>
      <c r="E87" s="13" t="n">
        <v>0.1</v>
      </c>
      <c r="F87" s="13" t="n">
        <v>0.1</v>
      </c>
      <c r="G87" s="13" t="n">
        <v>0.1</v>
      </c>
    </row>
    <row r="88">
      <c r="B88" t="inlineStr">
        <is>
          <t>買掛金対原価比率（AP % of COGS）</t>
        </is>
      </c>
      <c r="C88" s="13" t="n">
        <v>0.1</v>
      </c>
      <c r="D88" s="13" t="n">
        <v>0.1</v>
      </c>
      <c r="E88" s="13" t="n">
        <v>0.1</v>
      </c>
      <c r="F88" s="13" t="n">
        <v>0.1</v>
      </c>
      <c r="G88" s="13" t="n">
        <v>0.1</v>
      </c>
    </row>
    <row r="89">
      <c r="B89" t="inlineStr">
        <is>
          <t>想定Exit倍率（EV/EBITDA Multiple）</t>
        </is>
      </c>
      <c r="C89" s="8" t="n">
        <v>8</v>
      </c>
    </row>
    <row r="90">
      <c r="B90" t="inlineStr">
        <is>
          <t>想定投資保有期間（年数: Years）</t>
        </is>
      </c>
      <c r="C90" s="8" t="n">
        <v>4</v>
      </c>
    </row>
    <row r="92">
      <c r="A92" s="3" t="inlineStr">
        <is>
          <t>（７）貸借対照表</t>
        </is>
      </c>
      <c r="B92" s="3" t="inlineStr">
        <is>
          <t>プロフォルマ貸借対照表（BS）</t>
        </is>
      </c>
      <c r="C92" s="4" t="inlineStr">
        <is>
          <t>2022A</t>
        </is>
      </c>
      <c r="D92" s="4" t="inlineStr">
        <is>
          <t>2023E</t>
        </is>
      </c>
      <c r="E92" s="4" t="inlineStr">
        <is>
          <t>2024E</t>
        </is>
      </c>
      <c r="F92" s="4" t="inlineStr">
        <is>
          <t>2025E</t>
        </is>
      </c>
      <c r="G92" s="4" t="inlineStr">
        <is>
          <t>2026E</t>
        </is>
      </c>
    </row>
    <row r="93">
      <c r="B93" s="14" t="inlineStr">
        <is>
          <t>【資産の部】</t>
        </is>
      </c>
    </row>
    <row r="94">
      <c r="B94" t="inlineStr">
        <is>
          <t>現預金</t>
        </is>
      </c>
      <c r="C94" s="15">
        <f>C115</f>
        <v/>
      </c>
      <c r="D94" s="15">
        <f>D115</f>
        <v/>
      </c>
      <c r="E94" s="15">
        <f>E115</f>
        <v/>
      </c>
      <c r="F94" s="15">
        <f>F115</f>
        <v/>
      </c>
      <c r="G94" s="15">
        <f>G115</f>
        <v/>
      </c>
    </row>
    <row r="95">
      <c r="B95" t="inlineStr">
        <is>
          <t>売掛金</t>
        </is>
      </c>
      <c r="C95" s="15">
        <f>C78</f>
        <v/>
      </c>
      <c r="D95" s="15">
        <f>D78</f>
        <v/>
      </c>
      <c r="E95" s="15">
        <f>E78</f>
        <v/>
      </c>
      <c r="F95" s="15">
        <f>F78</f>
        <v/>
      </c>
      <c r="G95" s="15">
        <f>G78</f>
        <v/>
      </c>
    </row>
    <row r="96">
      <c r="B96" t="inlineStr">
        <is>
          <t>有形固定資産（PP&amp;E）</t>
        </is>
      </c>
      <c r="C96" s="15">
        <f>C71</f>
        <v/>
      </c>
      <c r="D96" s="15">
        <f>D71</f>
        <v/>
      </c>
      <c r="E96" s="15">
        <f>E71</f>
        <v/>
      </c>
      <c r="F96" s="15">
        <f>F71</f>
        <v/>
      </c>
      <c r="G96" s="15">
        <f>G71</f>
        <v/>
      </c>
    </row>
    <row r="97">
      <c r="B97" s="5" t="inlineStr">
        <is>
          <t>資産合計</t>
        </is>
      </c>
      <c r="C97" s="11">
        <f>SUM(C94:C96)</f>
        <v/>
      </c>
      <c r="D97" s="11">
        <f>SUM(D94:D96)</f>
        <v/>
      </c>
      <c r="E97" s="11">
        <f>SUM(E94:E96)</f>
        <v/>
      </c>
      <c r="F97" s="11">
        <f>SUM(F94:F96)</f>
        <v/>
      </c>
      <c r="G97" s="11">
        <f>SUM(G94:G96)</f>
        <v/>
      </c>
    </row>
    <row r="98">
      <c r="B98" s="14" t="inlineStr">
        <is>
          <t>【負債・純資産の部】</t>
        </is>
      </c>
    </row>
    <row r="99">
      <c r="B99" t="inlineStr">
        <is>
          <t>買掛金</t>
        </is>
      </c>
      <c r="C99" s="15">
        <f>C79</f>
        <v/>
      </c>
      <c r="D99" s="15">
        <f>D79</f>
        <v/>
      </c>
      <c r="E99" s="15">
        <f>E79</f>
        <v/>
      </c>
      <c r="F99" s="15">
        <f>F79</f>
        <v/>
      </c>
      <c r="G99" s="15">
        <f>G79</f>
        <v/>
      </c>
    </row>
    <row r="100">
      <c r="B100" t="inlineStr">
        <is>
          <t>借入金</t>
        </is>
      </c>
      <c r="C100" s="15">
        <f>C75</f>
        <v/>
      </c>
      <c r="D100" s="15">
        <f>D75</f>
        <v/>
      </c>
      <c r="E100" s="15">
        <f>E75</f>
        <v/>
      </c>
      <c r="F100" s="15">
        <f>F75</f>
        <v/>
      </c>
      <c r="G100" s="15">
        <f>G75</f>
        <v/>
      </c>
    </row>
    <row r="101">
      <c r="B101" t="inlineStr">
        <is>
          <t>資本金</t>
        </is>
      </c>
      <c r="C101" s="8" t="n">
        <v>200</v>
      </c>
      <c r="D101" s="15">
        <f>C101</f>
        <v/>
      </c>
      <c r="E101" s="15">
        <f>C101</f>
        <v/>
      </c>
      <c r="F101" s="15">
        <f>C101</f>
        <v/>
      </c>
      <c r="G101" s="15">
        <f>C101</f>
        <v/>
      </c>
    </row>
    <row r="102">
      <c r="B102" t="inlineStr">
        <is>
          <t>利益剰余金</t>
        </is>
      </c>
      <c r="C102" s="8" t="n">
        <v>1500</v>
      </c>
      <c r="D102" s="15">
        <f>C102+D62</f>
        <v/>
      </c>
      <c r="E102" s="15">
        <f>D102+E62</f>
        <v/>
      </c>
      <c r="F102" s="15">
        <f>E102+F62</f>
        <v/>
      </c>
      <c r="G102" s="15">
        <f>F102+G62</f>
        <v/>
      </c>
    </row>
    <row r="103">
      <c r="B103" s="5" t="inlineStr">
        <is>
          <t>負債・純資産合計</t>
        </is>
      </c>
      <c r="C103" s="11">
        <f>C99+C100+C101+C102</f>
        <v/>
      </c>
      <c r="D103" s="11">
        <f>D99+D100+D101+D102</f>
        <v/>
      </c>
      <c r="E103" s="11">
        <f>E99+E100+E101+E102</f>
        <v/>
      </c>
      <c r="F103" s="11">
        <f>F99+F100+F101+F102</f>
        <v/>
      </c>
      <c r="G103" s="11">
        <f>G99+G100+G101+G102</f>
        <v/>
      </c>
    </row>
    <row r="104">
      <c r="B104" s="17" t="inlineStr">
        <is>
          <t>バランスチェック（差額＝0検証）</t>
        </is>
      </c>
      <c r="C104" s="15">
        <f>C97-C103</f>
        <v/>
      </c>
      <c r="D104" s="15">
        <f>D97-D103</f>
        <v/>
      </c>
      <c r="E104" s="15">
        <f>E97-E103</f>
        <v/>
      </c>
      <c r="F104" s="15">
        <f>F97-F103</f>
        <v/>
      </c>
      <c r="G104" s="15">
        <f>G97-G103</f>
        <v/>
      </c>
    </row>
    <row r="106">
      <c r="A106" s="3" t="inlineStr">
        <is>
          <t>（８）キャッシュフロー</t>
        </is>
      </c>
      <c r="B106" s="3" t="inlineStr">
        <is>
          <t>キャッシュフロー計算書（間接法CF）</t>
        </is>
      </c>
      <c r="C106" s="4" t="inlineStr">
        <is>
          <t>2022A</t>
        </is>
      </c>
      <c r="D106" s="4" t="inlineStr">
        <is>
          <t>2023E</t>
        </is>
      </c>
      <c r="E106" s="4" t="inlineStr">
        <is>
          <t>2024E</t>
        </is>
      </c>
      <c r="F106" s="4" t="inlineStr">
        <is>
          <t>2025E</t>
        </is>
      </c>
      <c r="G106" s="4" t="inlineStr">
        <is>
          <t>2026E</t>
        </is>
      </c>
    </row>
    <row r="107">
      <c r="B107" t="inlineStr">
        <is>
          <t>税引後当期純利益</t>
        </is>
      </c>
      <c r="D107" s="15">
        <f>D62</f>
        <v/>
      </c>
      <c r="E107" s="15">
        <f>E62</f>
        <v/>
      </c>
      <c r="F107" s="15">
        <f>F62</f>
        <v/>
      </c>
      <c r="G107" s="15">
        <f>G62</f>
        <v/>
      </c>
    </row>
    <row r="108">
      <c r="B108" t="inlineStr">
        <is>
          <t>減価償却費（足し戻し）</t>
        </is>
      </c>
      <c r="D108" s="15">
        <f>D63</f>
        <v/>
      </c>
      <c r="E108" s="15">
        <f>E63</f>
        <v/>
      </c>
      <c r="F108" s="15">
        <f>F63</f>
        <v/>
      </c>
      <c r="G108" s="15">
        <f>G63</f>
        <v/>
      </c>
    </row>
    <row r="109">
      <c r="B109" t="inlineStr">
        <is>
          <t>Δ正味運転資本（前期−当期）</t>
        </is>
      </c>
      <c r="D109" s="15">
        <f>C80-D80</f>
        <v/>
      </c>
      <c r="E109" s="15">
        <f>D80-E80</f>
        <v/>
      </c>
      <c r="F109" s="15">
        <f>E80-F80</f>
        <v/>
      </c>
      <c r="G109" s="15">
        <f>F80-G80</f>
        <v/>
      </c>
    </row>
    <row r="110">
      <c r="B110" s="5" t="inlineStr">
        <is>
          <t>営業活動によるキャッシュフロー</t>
        </is>
      </c>
      <c r="D110" s="9">
        <f>SUM(D107:D109)</f>
        <v/>
      </c>
      <c r="E110" s="9">
        <f>SUM(E107:E109)</f>
        <v/>
      </c>
      <c r="F110" s="9">
        <f>SUM(F107:F109)</f>
        <v/>
      </c>
      <c r="G110" s="9">
        <f>SUM(G107:G109)</f>
        <v/>
      </c>
    </row>
    <row r="111">
      <c r="B111" t="inlineStr">
        <is>
          <t>設備投資額（Capex）</t>
        </is>
      </c>
      <c r="D111" s="15">
        <f>D69</f>
        <v/>
      </c>
      <c r="E111" s="15">
        <f>E69</f>
        <v/>
      </c>
      <c r="F111" s="15">
        <f>F69</f>
        <v/>
      </c>
      <c r="G111" s="15">
        <f>G69</f>
        <v/>
      </c>
    </row>
    <row r="112">
      <c r="B112" t="inlineStr">
        <is>
          <t>借入金約定返済額</t>
        </is>
      </c>
      <c r="D112" s="15">
        <f>D74</f>
        <v/>
      </c>
      <c r="E112" s="15">
        <f>E74</f>
        <v/>
      </c>
      <c r="F112" s="15">
        <f>F74</f>
        <v/>
      </c>
      <c r="G112" s="15">
        <f>G74</f>
        <v/>
      </c>
    </row>
    <row r="113">
      <c r="B113" s="5" t="inlineStr">
        <is>
          <t>当期純キャッシュ増減（Net CF）</t>
        </is>
      </c>
      <c r="D113" s="11">
        <f>D110+D111+D112</f>
        <v/>
      </c>
      <c r="E113" s="11">
        <f>E110+E111+E112</f>
        <v/>
      </c>
      <c r="F113" s="11">
        <f>F110+F111+F112</f>
        <v/>
      </c>
      <c r="G113" s="11">
        <f>G110+G111+G112</f>
        <v/>
      </c>
    </row>
    <row r="114">
      <c r="B114" t="inlineStr">
        <is>
          <t>期首現預金残高</t>
        </is>
      </c>
      <c r="D114" s="15">
        <f>C115</f>
        <v/>
      </c>
      <c r="E114" s="15">
        <f>D115</f>
        <v/>
      </c>
      <c r="F114" s="15">
        <f>E115</f>
        <v/>
      </c>
      <c r="G114" s="15">
        <f>F115</f>
        <v/>
      </c>
    </row>
    <row r="115">
      <c r="B115" s="5" t="inlineStr">
        <is>
          <t>期末現預金残高</t>
        </is>
      </c>
      <c r="C115" s="8" t="n">
        <v>1000</v>
      </c>
      <c r="D115" s="11">
        <f>D114+D113</f>
        <v/>
      </c>
      <c r="E115" s="11">
        <f>E114+E113</f>
        <v/>
      </c>
      <c r="F115" s="11">
        <f>F114+F113</f>
        <v/>
      </c>
      <c r="G115" s="11">
        <f>G114+G113</f>
        <v/>
      </c>
    </row>
    <row r="117">
      <c r="A117" s="3" t="inlineStr">
        <is>
          <t>（９）投資リターン</t>
        </is>
      </c>
      <c r="B117" s="3" t="inlineStr">
        <is>
          <t>バリューアップ成果およびExit投資リターン試算</t>
        </is>
      </c>
      <c r="C117" s="4" t="inlineStr"/>
      <c r="D117" s="4" t="inlineStr"/>
      <c r="E117" s="4" t="inlineStr"/>
      <c r="F117" s="4" t="inlineStr"/>
      <c r="G117" s="4" t="inlineStr"/>
    </row>
    <row r="118">
      <c r="B118" t="inlineStr">
        <is>
          <t>5年後プロフォルマEBITDA</t>
        </is>
      </c>
      <c r="D118" s="15">
        <f>$G$64</f>
        <v/>
      </c>
    </row>
    <row r="119">
      <c r="B119" s="5" t="inlineStr">
        <is>
          <t>Exit時想定企業価値（EV: EBITDA × 倍率）</t>
        </is>
      </c>
      <c r="D119" s="9">
        <f>D118*$C$89</f>
        <v/>
      </c>
    </row>
    <row r="120">
      <c r="B120" t="inlineStr">
        <is>
          <t>Exit時純有利子負債（Net Debt: 借入金 − 現金）</t>
        </is>
      </c>
      <c r="D120" s="15">
        <f>G100-G94</f>
        <v/>
      </c>
    </row>
    <row r="121">
      <c r="B121" s="16" t="inlineStr">
        <is>
          <t>Exit時株式価値（Equity Proceeds: EV − Net Debt）</t>
        </is>
      </c>
      <c r="D121" s="11">
        <f>D119-D120</f>
        <v/>
      </c>
    </row>
    <row r="122">
      <c r="B122" t="inlineStr">
        <is>
          <t>買収時スポンサー出資額（Entry Equity）</t>
        </is>
      </c>
      <c r="D122" s="8" t="n">
        <v>1500</v>
      </c>
    </row>
    <row r="123">
      <c r="B123" s="16" t="inlineStr">
        <is>
          <t>投下資本倍率（MoIC: Multiple on Invested Capital）</t>
        </is>
      </c>
      <c r="D123" s="18">
        <f>D121/D122</f>
        <v/>
      </c>
    </row>
    <row r="124">
      <c r="B124" s="16" t="inlineStr">
        <is>
          <t>内部収益率（IRR: 保有年数連動）</t>
        </is>
      </c>
      <c r="D124" s="12">
        <f>(D121/D122)^(1/$C$90)-1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2026-10-05T20:17:59Z</dcterms:created>
  <dcterms:modified xsi:type="dcterms:W3CDTF">2026-10-05T20:17:59Z</dcterms:modified>
</cp:coreProperties>
</file>